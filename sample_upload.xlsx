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1022\"/>
    </mc:Choice>
  </mc:AlternateContent>
  <xr:revisionPtr revIDLastSave="0" documentId="8_{D93FA8B9-5624-4340-A336-290F2D7283BE}" xr6:coauthVersionLast="47" xr6:coauthVersionMax="47" xr10:uidLastSave="{00000000-0000-0000-0000-000000000000}"/>
  <bookViews>
    <workbookView xWindow="-108" yWindow="-108" windowWidth="23256" windowHeight="12456" xr2:uid="{7D4FF499-33C7-4863-8F64-A0120F5C3338}"/>
  </bookViews>
  <sheets>
    <sheet name="중점투자사업_박스요약" sheetId="3" r:id="rId1"/>
    <sheet name="27대_주요사업_수치현황" sheetId="2" r:id="rId2"/>
    <sheet name="총재원_및_부문별_예산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H32" i="2"/>
  <c r="G32" i="2"/>
  <c r="F32" i="2"/>
  <c r="E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</calcChain>
</file>

<file path=xl/sharedStrings.xml><?xml version="1.0" encoding="utf-8"?>
<sst xmlns="http://schemas.openxmlformats.org/spreadsheetml/2006/main" count="374" uniqueCount="297">
  <si>
    <t>2027년 국방예산 정부안 중점 투자사업 박스 수치 요약</t>
  </si>
  <si>
    <t>출처: 국방부·방위사업청·병무청 보도자료 본문(2~6p) 중점 투자사업 주요 수치 추출 (기준일: 2026.9.3)</t>
  </si>
  <si>
    <t>번호</t>
  </si>
  <si>
    <t>중점 투자 분야</t>
  </si>
  <si>
    <t>박스 내 주요 항목</t>
  </si>
  <si>
    <t>단위</t>
  </si>
  <si>
    <t>2026년 예산/수치 (A)</t>
  </si>
  <si>
    <t>2027년 정부안 (B)</t>
  </si>
  <si>
    <t>증감 (B - A)</t>
  </si>
  <si>
    <t>증감률(%)</t>
  </si>
  <si>
    <t>비고 (특이사항)</t>
  </si>
  <si>
    <t>전작권 전환 및 자주국방</t>
  </si>
  <si>
    <t>전작권 전환 및 자주국방 예산 총액</t>
  </si>
  <si>
    <t>억원</t>
  </si>
  <si>
    <t>KF-21 양산, 핵추진잠수함 착수, L-SAM 조기확보</t>
  </si>
  <si>
    <t>군 인력구조 개편</t>
  </si>
  <si>
    <t>상비예비군 선발 운용 규모</t>
  </si>
  <si>
    <t>명</t>
  </si>
  <si>
    <t>병역자원 감소 대응, 첨단전문분야 집중배치</t>
  </si>
  <si>
    <t>상비예비군 운영 지원 예산</t>
  </si>
  <si>
    <t>+169억원 증액 (+194.3%)</t>
  </si>
  <si>
    <t>예비군훈련 보상비 총액</t>
  </si>
  <si>
    <t>2030년 최저시급 수준 단계적 현실화</t>
  </si>
  <si>
    <t>군 인력구조 개편 (세부)</t>
  </si>
  <si>
    <t>예비군 동원훈련 Ⅰ형 단가</t>
  </si>
  <si>
    <t>원</t>
  </si>
  <si>
    <t>+3.5만원 인상 (+36.8%)</t>
  </si>
  <si>
    <t>예비군 동원훈련 Ⅱ형 단가</t>
  </si>
  <si>
    <t>+2.0만원 인상 (+40.0%)</t>
  </si>
  <si>
    <t>예비군 기본훈련 단가</t>
  </si>
  <si>
    <t>+5천원 인상 (+50.0%)</t>
  </si>
  <si>
    <t>예비군 작계훈련 단가</t>
  </si>
  <si>
    <t>+6천원 인상 (+60.0%)</t>
  </si>
  <si>
    <t>AI·유무인 복합체계</t>
  </si>
  <si>
    <t>AI 및 유·무인 복합체계 전력 예산</t>
  </si>
  <si>
    <t>+2,759억원 증액 (+55.5%)</t>
  </si>
  <si>
    <t>피지컬 AI 실증사업 신설</t>
  </si>
  <si>
    <t>다족로봇 200대, 휴머노이드 2대, UGV 4대 실증</t>
  </si>
  <si>
    <t>드론·대드론 역량 강화</t>
  </si>
  <si>
    <t>드론 / 대드론 역량강화 예산</t>
  </si>
  <si>
    <t>+1,273억원 증액 (+18.8%)</t>
  </si>
  <si>
    <t>50만 드론전사 양성 교육훈련 여건조성</t>
  </si>
  <si>
    <t>+475억원 증액 (+160.5%)</t>
  </si>
  <si>
    <t>드론·대드론 (세부)</t>
  </si>
  <si>
    <t>교육용 상용드론 도입 물량</t>
  </si>
  <si>
    <t>대</t>
  </si>
  <si>
    <t>+5,943대 확대 (전군 및 예비군 확대)</t>
  </si>
  <si>
    <t>휴대용 통합형 대드론건 등 신규확보</t>
  </si>
  <si>
    <t>8종 대드론 장비 신규 확보</t>
  </si>
  <si>
    <t>장병 복무여건 개선</t>
  </si>
  <si>
    <t>초급간부 기본급 추가 처우개선 예산</t>
  </si>
  <si>
    <t>하·중사, 소·중위 최대 5.9% 인상 (공통3.9%+추가2%p)</t>
  </si>
  <si>
    <t>장병 복무여건 (세부)</t>
  </si>
  <si>
    <t>하사 1호봉 기준 월평균 보수</t>
  </si>
  <si>
    <t>만원</t>
  </si>
  <si>
    <t>연봉 3,600만원 수준 달성</t>
  </si>
  <si>
    <t>부사관 단기복무장려금 총액</t>
  </si>
  <si>
    <t>+620.5억원 증액 (+116.7%)</t>
  </si>
  <si>
    <t>부사관 단기복무장려금 1인당 단가</t>
  </si>
  <si>
    <t>+200만원 인상 (+20.0%)</t>
  </si>
  <si>
    <t>단기복무장려금 지원 인원</t>
  </si>
  <si>
    <t>+4,285명 수혜 대상 확대</t>
  </si>
  <si>
    <t>단기복무 부사관 적금 매칭지원금</t>
  </si>
  <si>
    <t>신규 편성 (월 최대 30만원 매칭, 만기시 2,310만원)</t>
  </si>
  <si>
    <t>영외 거주간부 급식비 단가</t>
  </si>
  <si>
    <t>원/월</t>
  </si>
  <si>
    <t>공무원 정액급식비와 동일 수준 반영 (17.2만명)</t>
  </si>
  <si>
    <t>군 복무 병사 단체 상해보험 신규 도입</t>
  </si>
  <si>
    <t>현역·상근 29만명 대상 사망·상해 보장 강화</t>
  </si>
  <si>
    <t>미래 국방기술 투자</t>
  </si>
  <si>
    <t>국방반도체 기술개발 R&amp;D 사업비</t>
  </si>
  <si>
    <t>국방반도체법 시행 연계 전용 트랙 신설</t>
  </si>
  <si>
    <t>첨단항공추진체계(엔진) 기술개발</t>
  </si>
  <si>
    <t>무인전투기 터보팬(20억) + 기반기술(70억)</t>
  </si>
  <si>
    <t>고출력 레이저 기반 하드킬 기술 확보</t>
  </si>
  <si>
    <t>신규 첨단 미래무기 기술 확보</t>
  </si>
  <si>
    <t>방위산업 생태계 육성</t>
  </si>
  <si>
    <t>K-방산 스타트업 육성 패키지 지원</t>
  </si>
  <si>
    <t>1~3단계 전주기 패키지 지원 (+129.6%)</t>
  </si>
  <si>
    <t>방산혁신기업 지원 (방산혁신기업200)</t>
  </si>
  <si>
    <t>+99억원 증액, 양자·에너지·추진체 신분야 발굴</t>
  </si>
  <si>
    <t>중소기업 기술 군 실증시험 지원사업</t>
  </si>
  <si>
    <t>전투실험·체계적합성 시험 지원 (약 70개 과제)</t>
  </si>
  <si>
    <t>방산 중소기업 수출 패키지 지원</t>
  </si>
  <si>
    <t>수출길 지원(278억) + GVC30 프로젝트(348억)</t>
  </si>
  <si>
    <t>국민체감 병무서비스</t>
  </si>
  <si>
    <t>생성형 AI 챗봇 및 맞춤형 병무상담</t>
  </si>
  <si>
    <t>RAG 및 AI 에이전트 One-Stop 민원신청</t>
  </si>
  <si>
    <t>병무청 동원훈련Ⅱ형 통합관리시스템</t>
  </si>
  <si>
    <t>국방부-병무청 이원화 해소 일원화 구축</t>
  </si>
  <si>
    <t>국외거주 병역의무자 입영 항공여비</t>
  </si>
  <si>
    <t>영주권자 입영희망자 귀국 항공료 국고 전액 지원</t>
  </si>
  <si>
    <t>2027년 국방분야 예산안 27대 주요사업 수치현황 (붙임 2)</t>
  </si>
  <si>
    <t>출처: '27년 국방분야 예산안 주요사업 설명자료(붙임2) | 금액 단위: 억 원</t>
  </si>
  <si>
    <t>사업 분야</t>
  </si>
  <si>
    <t>세부 핵심 사업명</t>
  </si>
  <si>
    <t>소관 부처 및 담당 부서</t>
  </si>
  <si>
    <t>2026년 예산</t>
  </si>
  <si>
    <t>2027년 정부안</t>
  </si>
  <si>
    <t>증감액</t>
  </si>
  <si>
    <t>사업 성격 및 세부 수치</t>
  </si>
  <si>
    <t>전력 강화</t>
  </si>
  <si>
    <t>전작권 전환 핵심 전력 확충 및 자주국방 역량 강화</t>
  </si>
  <si>
    <t>방위사업청 (KF-21/잠수함/포병/다층방어)</t>
  </si>
  <si>
    <t>KF-21 양산, 핵추진잠수함 착수, 천무230mm, L-SAM 조기확보</t>
  </si>
  <si>
    <t>국방 소버린 AI 기반 국방 AX(AI 전환) 가속화</t>
  </si>
  <si>
    <t>국방부 (국방인공지능정책과)</t>
  </si>
  <si>
    <t>AI플랫폼(551억), GPU인프라(366억), D.AX피지컬AI(430억)</t>
  </si>
  <si>
    <t>AI 및 유·무인 복합체계(MUM-T) 첨단 전력 확대</t>
  </si>
  <si>
    <t>방위사업청 (과학화/감시/AI로봇/무인전투함)</t>
  </si>
  <si>
    <t>GOP과학화경계, 무인지상감시센서, 폭발물탐지로봇, 무인수상정</t>
  </si>
  <si>
    <t>드론·대드론 장비 확충 및 첨단 기술협력</t>
  </si>
  <si>
    <t>국방부 (유무인복합체계과)</t>
  </si>
  <si>
    <t>50만 드론전사(교육용 17,320대), 대드론건 8종(291억), 민군협력(40억)</t>
  </si>
  <si>
    <t>드론 전투수단화 및 대드론 다층방어체계 강화</t>
  </si>
  <si>
    <t>방위사업청 (공격드론/드론/방공유도/인증기획)</t>
  </si>
  <si>
    <t>군집·자폭드론, 레이저 대공무기(Block-I/II), K-Blue UAS 인증제</t>
  </si>
  <si>
    <t>기술 자립</t>
  </si>
  <si>
    <t>미래 무기 핵심 국방반도체 자립 역량 확보</t>
  </si>
  <si>
    <t>방위사업청 (국방반도체인공지능과)</t>
  </si>
  <si>
    <t>국방반도체법 시행, R&amp;D트랙 신설(502억), 공동연구센터(50억)</t>
  </si>
  <si>
    <t>유·무인 복합체계 국방 항공추진체계(엔진) 개발</t>
  </si>
  <si>
    <t>방위사업청 (첨단항공엔진개발사업팀)</t>
  </si>
  <si>
    <t>무인전투기용 터보팬 R&amp;D(20억), 첨단항공엔진 기반기술(70억) 신규</t>
  </si>
  <si>
    <t>인력/구조</t>
  </si>
  <si>
    <t>인구감소 대응 비전투분야 민간 아웃소싱 활성화</t>
  </si>
  <si>
    <t>국방부 (국군조직담당관)</t>
  </si>
  <si>
    <t>부대관리(5사단 대대), 민통초소(6개소), 경비(학군교 등) 시범도입</t>
  </si>
  <si>
    <t>장병 처우</t>
  </si>
  <si>
    <t>초급간부 월 평균 보수 300만 원 수준 인상</t>
  </si>
  <si>
    <t>국방부 (복지정책과)</t>
  </si>
  <si>
    <t>하사 1호봉 월 300만원 달성 (기본급 5.9% 인상 추가처우분)</t>
  </si>
  <si>
    <t>부사관 충원 지원을 위한 단기복무장려금 인상</t>
  </si>
  <si>
    <t>국방부 (인력정책과)</t>
  </si>
  <si>
    <t>1인당 단가 1,000만→1,200만원, 지원대상 5,315명→9,600명 확대</t>
  </si>
  <si>
    <t>단기복무 부사관 적금 매칭 지원금 신설</t>
  </si>
  <si>
    <t>신규 9,600명 대상 월 최대 30만원 매칭, 3년 만기시 2,310만원</t>
  </si>
  <si>
    <t>군 간부 전세자금 지원단가 인상 및 대상 확대</t>
  </si>
  <si>
    <t>국방부 (군주거정책과)</t>
  </si>
  <si>
    <t>관사 한도 2.11억→2.24억, 미입주자 1,054명 대출이자 신규지원</t>
  </si>
  <si>
    <t>영외 거주 군인 급식비 인상 (공무원 수준 반영)</t>
  </si>
  <si>
    <t>국방부 (물자관리과)</t>
  </si>
  <si>
    <t>장교·부사관 17.2만명 영외자 급식비 월 13.7만→16만원 인상</t>
  </si>
  <si>
    <t>법정의무교육 민간 전문강사 위탁 운영</t>
  </si>
  <si>
    <t>국방부 (군인권총괄과)</t>
  </si>
  <si>
    <t>자살·도박예방, 인권, 다문화 민간전문강사 위탁(2시간 22만원)</t>
  </si>
  <si>
    <t>예비 전력</t>
  </si>
  <si>
    <t>국가기여 상비예비군 제도 대폭 확대 운영</t>
  </si>
  <si>
    <t>국방부 (예비전력기획과)</t>
  </si>
  <si>
    <t>상비예비군 3,700명→7,000명 확대, 드론/박격포/장갑차 집중운용</t>
  </si>
  <si>
    <t>예비군 훈련 보상비 인상 (최저시급 현실화)</t>
  </si>
  <si>
    <t>국방부 (예비군훈련정책과)</t>
  </si>
  <si>
    <t>동원Ⅰ형 13만, 동원Ⅱ형 7만, 기본 1.5만, 작계 1.6만원 ('30년 33만 목표)</t>
  </si>
  <si>
    <t>대규모 동원훈련 민간 응급의료팀 밀착 지원</t>
  </si>
  <si>
    <t>12개 동원사단별 민간응급의료팀 10개팀(구급차+구조사) 근접배치</t>
  </si>
  <si>
    <t>국방부 (보건정책과)</t>
  </si>
  <si>
    <t>현역·상근 29만명 대상 사망 5천만~2억, 장해·골절·입원비 보장</t>
  </si>
  <si>
    <t>병영생활전문상담관 증원으로 생명존중 확산</t>
  </si>
  <si>
    <t>국방부 (병영문화혁신담당관실)</t>
  </si>
  <si>
    <t>상담관 30명 증원(740명→770명), 고위험군 장병 밀착관리</t>
  </si>
  <si>
    <t>한 총, 한 책 프로젝트를 통한 독서병영 조성</t>
  </si>
  <si>
    <t>국방부 (정신전력정책과)</t>
  </si>
  <si>
    <t>신교대 독서코칭(7억), 우수자 외출 1일 포상, 독후감 공모전(1.5억)</t>
  </si>
  <si>
    <t>방위 산업</t>
  </si>
  <si>
    <t>민간 혁신기술 방산진입 단계별 패키지 지원</t>
  </si>
  <si>
    <t>방위사업청 (방산중소기업지원과)</t>
  </si>
  <si>
    <t>스타트업 1단계(기획 1억)→2단계(R&amp;D 5억)→3단계(사업화 21억) 전주기</t>
  </si>
  <si>
    <t>방산혁신기업 선정 확대로 중소기업 성장 견인</t>
  </si>
  <si>
    <t>방산혁신기업200 확대, 양자·에너지·추진체 등 신규분야 발굴</t>
  </si>
  <si>
    <t>중소기업 제품 군 환경 실증시험 기회 확대</t>
  </si>
  <si>
    <t>군 전투실험 및 체계적합성 시험 지원(약 70개 과제, 과제당 3억)</t>
  </si>
  <si>
    <t>방산 중소기업 글로벌 진출 및 수출 패키지 지원</t>
  </si>
  <si>
    <t>중소 수출길 지원(278억, 55개) + GVC30 프로젝트(348억, 30개)</t>
  </si>
  <si>
    <t>병무 서비스</t>
  </si>
  <si>
    <t>AI·디지털 활용 원스톱 국민체감 병무서비스 구축</t>
  </si>
  <si>
    <t>병무청 (정보기획과)</t>
  </si>
  <si>
    <t>병무행정 특화 RAG 및 AI 에이전트 One-Stop 민원신청 서비스</t>
  </si>
  <si>
    <t>예비군 동원훈련 행정업무 병무청 일원화 시스템</t>
  </si>
  <si>
    <t>병무청 (동원관리과)</t>
  </si>
  <si>
    <t>국방부(Ⅱ형)-병무청(Ⅰ형) 이원화 해소 통합시스템 구축</t>
  </si>
  <si>
    <t>국외거주 병역의무자 입영(소집) 항공여비 신규 지원</t>
  </si>
  <si>
    <t>병무청 (국외자원관리과)</t>
  </si>
  <si>
    <t>국외 영주권자 자발적 입영희망자 귀국 항공료 전액 국고 지원(438명)</t>
  </si>
  <si>
    <t>합계</t>
  </si>
  <si>
    <t>-</t>
  </si>
  <si>
    <t>27대 주요사업 합계</t>
  </si>
  <si>
    <t>27개 중점 과제 집계</t>
  </si>
  <si>
    <t>2027년 국방예산 총재원 및 프로그램별 재원 현황 (붙임 1)</t>
  </si>
  <si>
    <t>출처: 2027년 국방예산 세부 현황(붙임1) | 금액 단위: 억 원</t>
  </si>
  <si>
    <t>구분</t>
  </si>
  <si>
    <t>부문 및 세부 항목</t>
  </si>
  <si>
    <t>2026년 예산 (A)</t>
  </si>
  <si>
    <t>증감액 (B - A)</t>
  </si>
  <si>
    <t>증가율(%)</t>
  </si>
  <si>
    <t>비고</t>
  </si>
  <si>
    <t>총지출</t>
  </si>
  <si>
    <t>국방예산 총지출 (❶+❷+❸)</t>
  </si>
  <si>
    <t>국방예산 최초 70조 돌파, 최근 20년 내 최고 증가율(8.2%)</t>
  </si>
  <si>
    <t>전력운영 부문</t>
  </si>
  <si>
    <t>전력운영 부문 합계</t>
  </si>
  <si>
    <t>인건비, 급식·피복, 시설건설 및 전력유지비</t>
  </si>
  <si>
    <t xml:space="preserve">  - 일반회계</t>
  </si>
  <si>
    <t>일반회계 합계</t>
  </si>
  <si>
    <t>+3조 1,625억원 (+6.9%)</t>
  </si>
  <si>
    <t xml:space="preserve">    * 병력운영비</t>
  </si>
  <si>
    <t>병력운영비 소계</t>
  </si>
  <si>
    <t>급여정책, 연금전출금, 급식·피복</t>
  </si>
  <si>
    <t xml:space="preserve">      · 급여정책</t>
  </si>
  <si>
    <t>급여정책</t>
  </si>
  <si>
    <t>초급간부 보수 현실화 등 인건비</t>
  </si>
  <si>
    <t xml:space="preserve">      · 연금기금전출금</t>
  </si>
  <si>
    <t>연금기금 전출금</t>
  </si>
  <si>
    <t>+4,131억원 (+9.3%)</t>
  </si>
  <si>
    <t xml:space="preserve">      · 급식및피복</t>
  </si>
  <si>
    <t>급식 및 피복</t>
  </si>
  <si>
    <t>+284억원 (+1.1%)</t>
  </si>
  <si>
    <t xml:space="preserve">    * 전력유지비</t>
  </si>
  <si>
    <t>전력유지비 소계</t>
  </si>
  <si>
    <t>+2조 2,323억원 (+11.4%)</t>
  </si>
  <si>
    <t xml:space="preserve">      · 군수지원/협력</t>
  </si>
  <si>
    <t>군수지원 및 협력</t>
  </si>
  <si>
    <t>+9,725억원 (+13.8%)</t>
  </si>
  <si>
    <t xml:space="preserve">      · 군사시설건설</t>
  </si>
  <si>
    <t>군사시설 건설</t>
  </si>
  <si>
    <t>+3,263억원 (+10.9%)</t>
  </si>
  <si>
    <t xml:space="preserve">      · 군사시설운영</t>
  </si>
  <si>
    <t>군사시설 운영</t>
  </si>
  <si>
    <t>+1,590억원 (+6.4%)</t>
  </si>
  <si>
    <t xml:space="preserve">      · 장병보건/복지</t>
  </si>
  <si>
    <t>장병보건 및 복지향상</t>
  </si>
  <si>
    <t>+2,432억원 (+11.4%)</t>
  </si>
  <si>
    <t xml:space="preserve">      · 정책/국제협력</t>
  </si>
  <si>
    <t>정책기획 및 국제협력</t>
  </si>
  <si>
    <t>+591억원 (+3.5%)</t>
  </si>
  <si>
    <t xml:space="preserve">      · 교육훈련</t>
  </si>
  <si>
    <t>군인사 및 교육훈련</t>
  </si>
  <si>
    <t>+1,941억원 (+20.6%)</t>
  </si>
  <si>
    <t xml:space="preserve">      · 국방인공지능</t>
  </si>
  <si>
    <t>국방인공지능 (신설)</t>
  </si>
  <si>
    <t>+2,010억원 (+125.6%)</t>
  </si>
  <si>
    <t xml:space="preserve">      · 예비전력관리</t>
  </si>
  <si>
    <t>예비전력관리</t>
  </si>
  <si>
    <t>+384억원 (+14.8%)</t>
  </si>
  <si>
    <t xml:space="preserve">  - 특별회계/기금</t>
  </si>
  <si>
    <t>특별회계 및 기금 소계</t>
  </si>
  <si>
    <t>+5,871억원 (+8.4%)</t>
  </si>
  <si>
    <t xml:space="preserve">    * 군인연금기금</t>
  </si>
  <si>
    <t>군인연금기금</t>
  </si>
  <si>
    <t>+2,868억원 (+5.6%)</t>
  </si>
  <si>
    <t xml:space="preserve">    * 군인복지기금</t>
  </si>
  <si>
    <t>군인복지기금</t>
  </si>
  <si>
    <t>+519억원 (+5.3%)</t>
  </si>
  <si>
    <t xml:space="preserve">    * 시설이전회계</t>
  </si>
  <si>
    <t>국방·군사시설이전 특별회계</t>
  </si>
  <si>
    <t>+4,472억원 (+84.3%)</t>
  </si>
  <si>
    <t xml:space="preserve">    * 미군기지이전</t>
  </si>
  <si>
    <t>주한미군기지이전 특별회계</t>
  </si>
  <si>
    <t>△1,989억원 (△55.5%)</t>
  </si>
  <si>
    <t xml:space="preserve">  - 내부거래/보전</t>
  </si>
  <si>
    <t>내부거래 및 보전지출 (차감)</t>
  </si>
  <si>
    <t>일반회계 전출금 등 차감</t>
  </si>
  <si>
    <t>방위력개선 부문</t>
  </si>
  <si>
    <t>방위력개선 부문 합계</t>
  </si>
  <si>
    <t>역대 최대폭 증액 (+약 2.8조원, +13.8%)</t>
  </si>
  <si>
    <t xml:space="preserve">  - 항공기사업</t>
  </si>
  <si>
    <t>항공기사업</t>
  </si>
  <si>
    <t>KF-21 최초 양산 본격화 및 후속 양산 (+36.9%)</t>
  </si>
  <si>
    <t xml:space="preserve">  - 방위사업정책지원</t>
  </si>
  <si>
    <t>방위사업 정책지원</t>
  </si>
  <si>
    <t>국방 R&amp;D, 방산 중소기업 육성 및 수출지원</t>
  </si>
  <si>
    <t xml:space="preserve">  - 기동화력사업</t>
  </si>
  <si>
    <t>기동화력사업</t>
  </si>
  <si>
    <t>△1,505억원 (△4.2%)</t>
  </si>
  <si>
    <t xml:space="preserve">  - 유도무기사업</t>
  </si>
  <si>
    <t>유도무기사업</t>
  </si>
  <si>
    <t>L-SAM 조기 확보, 천무 230mm 무유도탄 (+8.1%)</t>
  </si>
  <si>
    <t xml:space="preserve">  - 지휘정찰사업</t>
  </si>
  <si>
    <t>지휘정찰사업</t>
  </si>
  <si>
    <t>중고도정찰무인기(MUAV), 무인지상감시센서 (+28.9%)</t>
  </si>
  <si>
    <t xml:space="preserve">  - 함정사업</t>
  </si>
  <si>
    <t>함정사업</t>
  </si>
  <si>
    <t>차세대 함정 건조 지속 및 핵추진잠수함 착수</t>
  </si>
  <si>
    <t>병무행정 부문</t>
  </si>
  <si>
    <t>병무행정 부문 합계</t>
  </si>
  <si>
    <t>+71억원 (+1.4%)</t>
  </si>
  <si>
    <t xml:space="preserve">  - 병무행정지원</t>
  </si>
  <si>
    <t>병무행정지원</t>
  </si>
  <si>
    <t>+86억원 (+1.8%)</t>
  </si>
  <si>
    <t xml:space="preserve">  - 병역자원선발</t>
  </si>
  <si>
    <t>병역자원선발</t>
  </si>
  <si>
    <t>△18억원 (△8.8%)</t>
  </si>
  <si>
    <t xml:space="preserve">  - 보충역복무지원</t>
  </si>
  <si>
    <t>보충역복무지원</t>
  </si>
  <si>
    <t>△1억원 (△1.1%)</t>
  </si>
  <si>
    <t xml:space="preserve">  - 병역자원충원</t>
  </si>
  <si>
    <t>병역자원충원</t>
  </si>
  <si>
    <t>+4억원 (+13.1%)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</si>
</sst>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\+#,##0.0;\-#,##0.0;0.0"/>
    <numFmt numFmtId="178" formatCode="0.0%"/>
  </numFmts>
  <fonts count="6" x14ac:knownFonts="1">
    <font>
      <sz val="11"/>
      <color theme="1"/>
      <name val="맑은 고딕"/>
      <family val="2"/>
      <charset val="129"/>
      <scheme val="minor"/>
    </font>
    <font>
      <b/>
      <sz val="16"/>
      <color rgb="FF5D361A"/>
      <name val="맑은 고딕"/>
      <family val="3"/>
      <charset val="129"/>
      <scheme val="minor"/>
    </font>
    <font>
      <sz val="9.5"/>
      <color rgb="FF96807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E4C2B"/>
        <bgColor indexed="64"/>
      </patternFill>
    </fill>
    <fill>
      <patternFill patternType="solid">
        <fgColor rgb="FFFCFAF7"/>
        <bgColor indexed="64"/>
      </patternFill>
    </fill>
    <fill>
      <patternFill patternType="solid">
        <fgColor rgb="FF5D361A"/>
        <bgColor indexed="64"/>
      </patternFill>
    </fill>
    <fill>
      <patternFill patternType="solid">
        <fgColor rgb="FF82522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8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76" fontId="4" fillId="3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>
      <alignment vertical="center"/>
    </xf>
    <xf numFmtId="178" fontId="4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D228-5B5D-4A13-9B62-59DD2D2426D5}">
  <dimension ref="A1:I36"/>
  <sheetViews>
    <sheetView tabSelected="1" workbookViewId="0">
      <pane ySplit="4" topLeftCell="A5" activePane="bottomLeft" state="frozenSplit"/>
      <selection pane="bottomLeft"/>
    </sheetView>
  </sheetViews>
  <sheetFormatPr defaultRowHeight="17.399999999999999" x14ac:dyDescent="0.4"/>
  <cols>
    <col min="1" max="1" width="65.69921875" customWidth="1"/>
    <col min="2" max="2" width="25.19921875" customWidth="1"/>
    <col min="3" max="3" width="37.796875" customWidth="1"/>
    <col min="4" max="4" width="8.69921875" customWidth="1"/>
    <col min="5" max="5" width="22.69921875" customWidth="1"/>
    <col min="6" max="6" width="19.59765625" customWidth="1"/>
    <col min="7" max="7" width="14.19921875" customWidth="1"/>
    <col min="8" max="8" width="12.59765625" customWidth="1"/>
    <col min="9" max="9" width="50.5" customWidth="1"/>
    <col min="10" max="10" width="11.796875" customWidth="1"/>
  </cols>
  <sheetData>
    <row r="1" spans="1:9" ht="25.2" x14ac:dyDescent="0.4">
      <c r="A1" s="1" t="s">
        <v>0</v>
      </c>
    </row>
    <row r="2" spans="1:9" x14ac:dyDescent="0.4">
      <c r="A2" s="2" t="s">
        <v>1</v>
      </c>
    </row>
    <row r="4" spans="1:9" ht="25.95" customHeigh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22.05" customHeight="1" x14ac:dyDescent="0.4">
      <c r="A5" s="3">
        <v>1</v>
      </c>
      <c r="B5" s="5" t="s">
        <v>11</v>
      </c>
      <c r="C5" s="5" t="s">
        <v>12</v>
      </c>
      <c r="D5" s="3" t="s">
        <v>13</v>
      </c>
      <c r="E5" s="6">
        <v>90222</v>
      </c>
      <c r="F5" s="6">
        <v>121744</v>
      </c>
      <c r="G5" s="7">
        <f>F5-E5</f>
        <v>31522</v>
      </c>
      <c r="H5" s="8">
        <f>IF(E5=0, "순증/신규", (F5-E5)/E5)</f>
        <v>0.34938263394737423</v>
      </c>
      <c r="I5" s="5" t="s">
        <v>14</v>
      </c>
    </row>
    <row r="6" spans="1:9" ht="22.05" customHeight="1" x14ac:dyDescent="0.4">
      <c r="A6" s="9">
        <v>2</v>
      </c>
      <c r="B6" s="10" t="s">
        <v>15</v>
      </c>
      <c r="C6" s="10" t="s">
        <v>16</v>
      </c>
      <c r="D6" s="9" t="s">
        <v>17</v>
      </c>
      <c r="E6" s="11">
        <v>3700</v>
      </c>
      <c r="F6" s="11">
        <v>7000</v>
      </c>
      <c r="G6" s="12">
        <f>F6-E6</f>
        <v>3300</v>
      </c>
      <c r="H6" s="13">
        <f>IF(E6=0, "순증/신규", (F6-E6)/E6)</f>
        <v>0.89189189189189189</v>
      </c>
      <c r="I6" s="10" t="s">
        <v>18</v>
      </c>
    </row>
    <row r="7" spans="1:9" ht="22.05" customHeight="1" x14ac:dyDescent="0.4">
      <c r="A7" s="3">
        <v>3</v>
      </c>
      <c r="B7" s="5" t="s">
        <v>15</v>
      </c>
      <c r="C7" s="5" t="s">
        <v>19</v>
      </c>
      <c r="D7" s="3" t="s">
        <v>13</v>
      </c>
      <c r="E7" s="6">
        <v>87</v>
      </c>
      <c r="F7" s="6">
        <v>256</v>
      </c>
      <c r="G7" s="7">
        <f>F7-E7</f>
        <v>169</v>
      </c>
      <c r="H7" s="8">
        <f>IF(E7=0, "순증/신규", (F7-E7)/E7)</f>
        <v>1.9425287356321839</v>
      </c>
      <c r="I7" s="5" t="s">
        <v>20</v>
      </c>
    </row>
    <row r="8" spans="1:9" ht="22.05" customHeight="1" x14ac:dyDescent="0.4">
      <c r="A8" s="9">
        <v>4</v>
      </c>
      <c r="B8" s="10" t="s">
        <v>15</v>
      </c>
      <c r="C8" s="10" t="s">
        <v>21</v>
      </c>
      <c r="D8" s="9" t="s">
        <v>13</v>
      </c>
      <c r="E8" s="11">
        <v>688</v>
      </c>
      <c r="F8" s="11">
        <v>903</v>
      </c>
      <c r="G8" s="12">
        <f>F8-E8</f>
        <v>215</v>
      </c>
      <c r="H8" s="13">
        <f>IF(E8=0, "순증/신규", (F8-E8)/E8)</f>
        <v>0.3125</v>
      </c>
      <c r="I8" s="10" t="s">
        <v>22</v>
      </c>
    </row>
    <row r="9" spans="1:9" ht="22.05" customHeight="1" x14ac:dyDescent="0.4">
      <c r="A9" s="3">
        <v>5</v>
      </c>
      <c r="B9" s="5" t="s">
        <v>23</v>
      </c>
      <c r="C9" s="5" t="s">
        <v>24</v>
      </c>
      <c r="D9" s="3" t="s">
        <v>25</v>
      </c>
      <c r="E9" s="6">
        <v>95000</v>
      </c>
      <c r="F9" s="6">
        <v>130000</v>
      </c>
      <c r="G9" s="7">
        <f>F9-E9</f>
        <v>35000</v>
      </c>
      <c r="H9" s="8">
        <f>IF(E9=0, "순증/신규", (F9-E9)/E9)</f>
        <v>0.36842105263157893</v>
      </c>
      <c r="I9" s="5" t="s">
        <v>26</v>
      </c>
    </row>
    <row r="10" spans="1:9" ht="22.05" customHeight="1" x14ac:dyDescent="0.4">
      <c r="A10" s="9">
        <v>6</v>
      </c>
      <c r="B10" s="10" t="s">
        <v>23</v>
      </c>
      <c r="C10" s="10" t="s">
        <v>27</v>
      </c>
      <c r="D10" s="9" t="s">
        <v>25</v>
      </c>
      <c r="E10" s="11">
        <v>50000</v>
      </c>
      <c r="F10" s="11">
        <v>70000</v>
      </c>
      <c r="G10" s="12">
        <f>F10-E10</f>
        <v>20000</v>
      </c>
      <c r="H10" s="13">
        <f>IF(E10=0, "순증/신규", (F10-E10)/E10)</f>
        <v>0.4</v>
      </c>
      <c r="I10" s="10" t="s">
        <v>28</v>
      </c>
    </row>
    <row r="11" spans="1:9" ht="22.05" customHeight="1" x14ac:dyDescent="0.4">
      <c r="A11" s="3">
        <v>7</v>
      </c>
      <c r="B11" s="5" t="s">
        <v>23</v>
      </c>
      <c r="C11" s="5" t="s">
        <v>29</v>
      </c>
      <c r="D11" s="3" t="s">
        <v>25</v>
      </c>
      <c r="E11" s="6">
        <v>10000</v>
      </c>
      <c r="F11" s="6">
        <v>15000</v>
      </c>
      <c r="G11" s="7">
        <f>F11-E11</f>
        <v>5000</v>
      </c>
      <c r="H11" s="8">
        <f>IF(E11=0, "순증/신규", (F11-E11)/E11)</f>
        <v>0.5</v>
      </c>
      <c r="I11" s="5" t="s">
        <v>30</v>
      </c>
    </row>
    <row r="12" spans="1:9" ht="22.05" customHeight="1" x14ac:dyDescent="0.4">
      <c r="A12" s="9">
        <v>8</v>
      </c>
      <c r="B12" s="10" t="s">
        <v>23</v>
      </c>
      <c r="C12" s="10" t="s">
        <v>31</v>
      </c>
      <c r="D12" s="9" t="s">
        <v>25</v>
      </c>
      <c r="E12" s="11">
        <v>10000</v>
      </c>
      <c r="F12" s="11">
        <v>16000</v>
      </c>
      <c r="G12" s="12">
        <f>F12-E12</f>
        <v>6000</v>
      </c>
      <c r="H12" s="13">
        <f>IF(E12=0, "순증/신규", (F12-E12)/E12)</f>
        <v>0.6</v>
      </c>
      <c r="I12" s="10" t="s">
        <v>32</v>
      </c>
    </row>
    <row r="13" spans="1:9" ht="22.05" customHeight="1" x14ac:dyDescent="0.4">
      <c r="A13" s="3">
        <v>9</v>
      </c>
      <c r="B13" s="5" t="s">
        <v>33</v>
      </c>
      <c r="C13" s="5" t="s">
        <v>34</v>
      </c>
      <c r="D13" s="3" t="s">
        <v>13</v>
      </c>
      <c r="E13" s="6">
        <v>4968</v>
      </c>
      <c r="F13" s="6">
        <v>7727</v>
      </c>
      <c r="G13" s="7">
        <f>F13-E13</f>
        <v>2759</v>
      </c>
      <c r="H13" s="8">
        <f>IF(E13=0, "순증/신규", (F13-E13)/E13)</f>
        <v>0.55535426731078907</v>
      </c>
      <c r="I13" s="5" t="s">
        <v>35</v>
      </c>
    </row>
    <row r="14" spans="1:9" ht="22.05" customHeight="1" x14ac:dyDescent="0.4">
      <c r="A14" s="9">
        <v>10</v>
      </c>
      <c r="B14" s="10" t="s">
        <v>33</v>
      </c>
      <c r="C14" s="10" t="s">
        <v>36</v>
      </c>
      <c r="D14" s="9" t="s">
        <v>13</v>
      </c>
      <c r="E14" s="11">
        <v>0</v>
      </c>
      <c r="F14" s="11">
        <v>430</v>
      </c>
      <c r="G14" s="12">
        <f>F14-E14</f>
        <v>430</v>
      </c>
      <c r="H14" s="13" t="str">
        <f>IF(E14=0, "순증/신규", (F14-E14)/E14)</f>
        <v>순증/신규</v>
      </c>
      <c r="I14" s="10" t="s">
        <v>37</v>
      </c>
    </row>
    <row r="15" spans="1:9" ht="22.05" customHeight="1" x14ac:dyDescent="0.4">
      <c r="A15" s="3">
        <v>11</v>
      </c>
      <c r="B15" s="5" t="s">
        <v>38</v>
      </c>
      <c r="C15" s="5" t="s">
        <v>39</v>
      </c>
      <c r="D15" s="3" t="s">
        <v>13</v>
      </c>
      <c r="E15" s="6">
        <v>6788</v>
      </c>
      <c r="F15" s="6">
        <v>8061</v>
      </c>
      <c r="G15" s="7">
        <f>F15-E15</f>
        <v>1273</v>
      </c>
      <c r="H15" s="8">
        <f>IF(E15=0, "순증/신규", (F15-E15)/E15)</f>
        <v>0.18753682969946966</v>
      </c>
      <c r="I15" s="5" t="s">
        <v>40</v>
      </c>
    </row>
    <row r="16" spans="1:9" ht="22.05" customHeight="1" x14ac:dyDescent="0.4">
      <c r="A16" s="9">
        <v>12</v>
      </c>
      <c r="B16" s="10" t="s">
        <v>38</v>
      </c>
      <c r="C16" s="10" t="s">
        <v>41</v>
      </c>
      <c r="D16" s="9" t="s">
        <v>13</v>
      </c>
      <c r="E16" s="11">
        <v>296</v>
      </c>
      <c r="F16" s="11">
        <v>771</v>
      </c>
      <c r="G16" s="12">
        <f>F16-E16</f>
        <v>475</v>
      </c>
      <c r="H16" s="13">
        <f>IF(E16=0, "순증/신규", (F16-E16)/E16)</f>
        <v>1.6047297297297298</v>
      </c>
      <c r="I16" s="10" t="s">
        <v>42</v>
      </c>
    </row>
    <row r="17" spans="1:9" ht="22.05" customHeight="1" x14ac:dyDescent="0.4">
      <c r="A17" s="3">
        <v>13</v>
      </c>
      <c r="B17" s="5" t="s">
        <v>43</v>
      </c>
      <c r="C17" s="5" t="s">
        <v>44</v>
      </c>
      <c r="D17" s="3" t="s">
        <v>45</v>
      </c>
      <c r="E17" s="6">
        <v>11377</v>
      </c>
      <c r="F17" s="6">
        <v>17320</v>
      </c>
      <c r="G17" s="7">
        <f>F17-E17</f>
        <v>5943</v>
      </c>
      <c r="H17" s="8">
        <f>IF(E17=0, "순증/신규", (F17-E17)/E17)</f>
        <v>0.52236969324074889</v>
      </c>
      <c r="I17" s="5" t="s">
        <v>46</v>
      </c>
    </row>
    <row r="18" spans="1:9" ht="22.05" customHeight="1" x14ac:dyDescent="0.4">
      <c r="A18" s="9">
        <v>14</v>
      </c>
      <c r="B18" s="10" t="s">
        <v>43</v>
      </c>
      <c r="C18" s="10" t="s">
        <v>47</v>
      </c>
      <c r="D18" s="9" t="s">
        <v>13</v>
      </c>
      <c r="E18" s="11">
        <v>0</v>
      </c>
      <c r="F18" s="11">
        <v>291</v>
      </c>
      <c r="G18" s="12">
        <f>F18-E18</f>
        <v>291</v>
      </c>
      <c r="H18" s="13" t="str">
        <f>IF(E18=0, "순증/신규", (F18-E18)/E18)</f>
        <v>순증/신규</v>
      </c>
      <c r="I18" s="10" t="s">
        <v>48</v>
      </c>
    </row>
    <row r="19" spans="1:9" ht="22.05" customHeight="1" x14ac:dyDescent="0.4">
      <c r="A19" s="3">
        <v>15</v>
      </c>
      <c r="B19" s="5" t="s">
        <v>49</v>
      </c>
      <c r="C19" s="5" t="s">
        <v>50</v>
      </c>
      <c r="D19" s="3" t="s">
        <v>13</v>
      </c>
      <c r="E19" s="6">
        <v>0</v>
      </c>
      <c r="F19" s="6">
        <v>316</v>
      </c>
      <c r="G19" s="7">
        <f>F19-E19</f>
        <v>316</v>
      </c>
      <c r="H19" s="8" t="str">
        <f>IF(E19=0, "순증/신규", (F19-E19)/E19)</f>
        <v>순증/신규</v>
      </c>
      <c r="I19" s="5" t="s">
        <v>51</v>
      </c>
    </row>
    <row r="20" spans="1:9" ht="22.05" customHeight="1" x14ac:dyDescent="0.4">
      <c r="A20" s="9">
        <v>16</v>
      </c>
      <c r="B20" s="10" t="s">
        <v>52</v>
      </c>
      <c r="C20" s="10" t="s">
        <v>53</v>
      </c>
      <c r="D20" s="9" t="s">
        <v>54</v>
      </c>
      <c r="E20" s="11">
        <v>283</v>
      </c>
      <c r="F20" s="11">
        <v>300</v>
      </c>
      <c r="G20" s="12">
        <f>F20-E20</f>
        <v>17</v>
      </c>
      <c r="H20" s="13">
        <f>IF(E20=0, "순증/신규", (F20-E20)/E20)</f>
        <v>6.0070671378091869E-2</v>
      </c>
      <c r="I20" s="10" t="s">
        <v>55</v>
      </c>
    </row>
    <row r="21" spans="1:9" ht="22.05" customHeight="1" x14ac:dyDescent="0.4">
      <c r="A21" s="3">
        <v>17</v>
      </c>
      <c r="B21" s="5" t="s">
        <v>49</v>
      </c>
      <c r="C21" s="5" t="s">
        <v>56</v>
      </c>
      <c r="D21" s="3" t="s">
        <v>13</v>
      </c>
      <c r="E21" s="6">
        <v>531.5</v>
      </c>
      <c r="F21" s="6">
        <v>1152</v>
      </c>
      <c r="G21" s="7">
        <f>F21-E21</f>
        <v>620.5</v>
      </c>
      <c r="H21" s="8">
        <f>IF(E21=0, "순증/신규", (F21-E21)/E21)</f>
        <v>1.1674506114769521</v>
      </c>
      <c r="I21" s="5" t="s">
        <v>57</v>
      </c>
    </row>
    <row r="22" spans="1:9" ht="22.05" customHeight="1" x14ac:dyDescent="0.4">
      <c r="A22" s="9">
        <v>18</v>
      </c>
      <c r="B22" s="10" t="s">
        <v>52</v>
      </c>
      <c r="C22" s="10" t="s">
        <v>58</v>
      </c>
      <c r="D22" s="9" t="s">
        <v>54</v>
      </c>
      <c r="E22" s="11">
        <v>1000</v>
      </c>
      <c r="F22" s="11">
        <v>1200</v>
      </c>
      <c r="G22" s="12">
        <f>F22-E22</f>
        <v>200</v>
      </c>
      <c r="H22" s="13">
        <f>IF(E22=0, "순증/신규", (F22-E22)/E22)</f>
        <v>0.2</v>
      </c>
      <c r="I22" s="10" t="s">
        <v>59</v>
      </c>
    </row>
    <row r="23" spans="1:9" ht="22.05" customHeight="1" x14ac:dyDescent="0.4">
      <c r="A23" s="3">
        <v>19</v>
      </c>
      <c r="B23" s="5" t="s">
        <v>52</v>
      </c>
      <c r="C23" s="5" t="s">
        <v>60</v>
      </c>
      <c r="D23" s="3" t="s">
        <v>17</v>
      </c>
      <c r="E23" s="6">
        <v>5315</v>
      </c>
      <c r="F23" s="6">
        <v>9600</v>
      </c>
      <c r="G23" s="7">
        <f>F23-E23</f>
        <v>4285</v>
      </c>
      <c r="H23" s="8">
        <f>IF(E23=0, "순증/신규", (F23-E23)/E23)</f>
        <v>0.80620884289745998</v>
      </c>
      <c r="I23" s="5" t="s">
        <v>61</v>
      </c>
    </row>
    <row r="24" spans="1:9" ht="22.05" customHeight="1" x14ac:dyDescent="0.4">
      <c r="A24" s="9">
        <v>20</v>
      </c>
      <c r="B24" s="10" t="s">
        <v>49</v>
      </c>
      <c r="C24" s="10" t="s">
        <v>62</v>
      </c>
      <c r="D24" s="9" t="s">
        <v>13</v>
      </c>
      <c r="E24" s="11">
        <v>0</v>
      </c>
      <c r="F24" s="11">
        <v>189</v>
      </c>
      <c r="G24" s="12">
        <f>F24-E24</f>
        <v>189</v>
      </c>
      <c r="H24" s="13" t="str">
        <f>IF(E24=0, "순증/신규", (F24-E24)/E24)</f>
        <v>순증/신규</v>
      </c>
      <c r="I24" s="10" t="s">
        <v>63</v>
      </c>
    </row>
    <row r="25" spans="1:9" ht="22.05" customHeight="1" x14ac:dyDescent="0.4">
      <c r="A25" s="3">
        <v>21</v>
      </c>
      <c r="B25" s="5" t="s">
        <v>49</v>
      </c>
      <c r="C25" s="5" t="s">
        <v>64</v>
      </c>
      <c r="D25" s="3" t="s">
        <v>65</v>
      </c>
      <c r="E25" s="6">
        <v>137000</v>
      </c>
      <c r="F25" s="6">
        <v>160000</v>
      </c>
      <c r="G25" s="7">
        <f>F25-E25</f>
        <v>23000</v>
      </c>
      <c r="H25" s="8">
        <f>IF(E25=0, "순증/신규", (F25-E25)/E25)</f>
        <v>0.16788321167883211</v>
      </c>
      <c r="I25" s="5" t="s">
        <v>66</v>
      </c>
    </row>
    <row r="26" spans="1:9" ht="22.05" customHeight="1" x14ac:dyDescent="0.4">
      <c r="A26" s="9">
        <v>22</v>
      </c>
      <c r="B26" s="10" t="s">
        <v>49</v>
      </c>
      <c r="C26" s="10" t="s">
        <v>67</v>
      </c>
      <c r="D26" s="9" t="s">
        <v>13</v>
      </c>
      <c r="E26" s="11">
        <v>0</v>
      </c>
      <c r="F26" s="11">
        <v>69</v>
      </c>
      <c r="G26" s="12">
        <f>F26-E26</f>
        <v>69</v>
      </c>
      <c r="H26" s="13" t="str">
        <f>IF(E26=0, "순증/신규", (F26-E26)/E26)</f>
        <v>순증/신규</v>
      </c>
      <c r="I26" s="10" t="s">
        <v>68</v>
      </c>
    </row>
    <row r="27" spans="1:9" ht="22.05" customHeight="1" x14ac:dyDescent="0.4">
      <c r="A27" s="3">
        <v>23</v>
      </c>
      <c r="B27" s="5" t="s">
        <v>69</v>
      </c>
      <c r="C27" s="5" t="s">
        <v>70</v>
      </c>
      <c r="D27" s="3" t="s">
        <v>13</v>
      </c>
      <c r="E27" s="6">
        <v>132</v>
      </c>
      <c r="F27" s="6">
        <v>565</v>
      </c>
      <c r="G27" s="7">
        <f>F27-E27</f>
        <v>433</v>
      </c>
      <c r="H27" s="8">
        <f>IF(E27=0, "순증/신규", (F27-E27)/E27)</f>
        <v>3.2803030303030303</v>
      </c>
      <c r="I27" s="5" t="s">
        <v>71</v>
      </c>
    </row>
    <row r="28" spans="1:9" ht="22.05" customHeight="1" x14ac:dyDescent="0.4">
      <c r="A28" s="9">
        <v>24</v>
      </c>
      <c r="B28" s="10" t="s">
        <v>69</v>
      </c>
      <c r="C28" s="10" t="s">
        <v>72</v>
      </c>
      <c r="D28" s="9" t="s">
        <v>13</v>
      </c>
      <c r="E28" s="11">
        <v>0</v>
      </c>
      <c r="F28" s="11">
        <v>90</v>
      </c>
      <c r="G28" s="12">
        <f>F28-E28</f>
        <v>90</v>
      </c>
      <c r="H28" s="13" t="str">
        <f>IF(E28=0, "순증/신규", (F28-E28)/E28)</f>
        <v>순증/신규</v>
      </c>
      <c r="I28" s="10" t="s">
        <v>73</v>
      </c>
    </row>
    <row r="29" spans="1:9" ht="22.05" customHeight="1" x14ac:dyDescent="0.4">
      <c r="A29" s="3">
        <v>25</v>
      </c>
      <c r="B29" s="5" t="s">
        <v>69</v>
      </c>
      <c r="C29" s="5" t="s">
        <v>74</v>
      </c>
      <c r="D29" s="3" t="s">
        <v>13</v>
      </c>
      <c r="E29" s="6">
        <v>0</v>
      </c>
      <c r="F29" s="6">
        <v>121</v>
      </c>
      <c r="G29" s="7">
        <f>F29-E29</f>
        <v>121</v>
      </c>
      <c r="H29" s="8" t="str">
        <f>IF(E29=0, "순증/신규", (F29-E29)/E29)</f>
        <v>순증/신규</v>
      </c>
      <c r="I29" s="5" t="s">
        <v>75</v>
      </c>
    </row>
    <row r="30" spans="1:9" ht="22.05" customHeight="1" x14ac:dyDescent="0.4">
      <c r="A30" s="9">
        <v>26</v>
      </c>
      <c r="B30" s="10" t="s">
        <v>76</v>
      </c>
      <c r="C30" s="10" t="s">
        <v>77</v>
      </c>
      <c r="D30" s="9" t="s">
        <v>13</v>
      </c>
      <c r="E30" s="11">
        <v>54</v>
      </c>
      <c r="F30" s="11">
        <v>124</v>
      </c>
      <c r="G30" s="12">
        <f>F30-E30</f>
        <v>70</v>
      </c>
      <c r="H30" s="13">
        <f>IF(E30=0, "순증/신규", (F30-E30)/E30)</f>
        <v>1.2962962962962963</v>
      </c>
      <c r="I30" s="10" t="s">
        <v>78</v>
      </c>
    </row>
    <row r="31" spans="1:9" ht="22.05" customHeight="1" x14ac:dyDescent="0.4">
      <c r="A31" s="3">
        <v>27</v>
      </c>
      <c r="B31" s="5" t="s">
        <v>76</v>
      </c>
      <c r="C31" s="5" t="s">
        <v>79</v>
      </c>
      <c r="D31" s="3" t="s">
        <v>13</v>
      </c>
      <c r="E31" s="6">
        <v>659</v>
      </c>
      <c r="F31" s="6">
        <v>758</v>
      </c>
      <c r="G31" s="7">
        <f>F31-E31</f>
        <v>99</v>
      </c>
      <c r="H31" s="8">
        <f>IF(E31=0, "순증/신규", (F31-E31)/E31)</f>
        <v>0.15022761760242792</v>
      </c>
      <c r="I31" s="5" t="s">
        <v>80</v>
      </c>
    </row>
    <row r="32" spans="1:9" ht="22.05" customHeight="1" x14ac:dyDescent="0.4">
      <c r="A32" s="9">
        <v>28</v>
      </c>
      <c r="B32" s="10" t="s">
        <v>76</v>
      </c>
      <c r="C32" s="10" t="s">
        <v>81</v>
      </c>
      <c r="D32" s="9" t="s">
        <v>13</v>
      </c>
      <c r="E32" s="11">
        <v>70</v>
      </c>
      <c r="F32" s="11">
        <v>170</v>
      </c>
      <c r="G32" s="12">
        <f>F32-E32</f>
        <v>100</v>
      </c>
      <c r="H32" s="13">
        <f>IF(E32=0, "순증/신규", (F32-E32)/E32)</f>
        <v>1.4285714285714286</v>
      </c>
      <c r="I32" s="10" t="s">
        <v>82</v>
      </c>
    </row>
    <row r="33" spans="1:9" ht="22.05" customHeight="1" x14ac:dyDescent="0.4">
      <c r="A33" s="3">
        <v>29</v>
      </c>
      <c r="B33" s="5" t="s">
        <v>76</v>
      </c>
      <c r="C33" s="5" t="s">
        <v>83</v>
      </c>
      <c r="D33" s="3" t="s">
        <v>13</v>
      </c>
      <c r="E33" s="6">
        <v>512</v>
      </c>
      <c r="F33" s="6">
        <v>627</v>
      </c>
      <c r="G33" s="7">
        <f>F33-E33</f>
        <v>115</v>
      </c>
      <c r="H33" s="8">
        <f>IF(E33=0, "순증/신규", (F33-E33)/E33)</f>
        <v>0.224609375</v>
      </c>
      <c r="I33" s="5" t="s">
        <v>84</v>
      </c>
    </row>
    <row r="34" spans="1:9" ht="22.05" customHeight="1" x14ac:dyDescent="0.4">
      <c r="A34" s="9">
        <v>30</v>
      </c>
      <c r="B34" s="10" t="s">
        <v>85</v>
      </c>
      <c r="C34" s="10" t="s">
        <v>86</v>
      </c>
      <c r="D34" s="9" t="s">
        <v>13</v>
      </c>
      <c r="E34" s="11">
        <v>0</v>
      </c>
      <c r="F34" s="11">
        <v>19.32</v>
      </c>
      <c r="G34" s="12">
        <f>F34-E34</f>
        <v>19.32</v>
      </c>
      <c r="H34" s="13" t="str">
        <f>IF(E34=0, "순증/신규", (F34-E34)/E34)</f>
        <v>순증/신규</v>
      </c>
      <c r="I34" s="10" t="s">
        <v>87</v>
      </c>
    </row>
    <row r="35" spans="1:9" ht="22.05" customHeight="1" x14ac:dyDescent="0.4">
      <c r="A35" s="3">
        <v>31</v>
      </c>
      <c r="B35" s="5" t="s">
        <v>85</v>
      </c>
      <c r="C35" s="5" t="s">
        <v>88</v>
      </c>
      <c r="D35" s="3" t="s">
        <v>13</v>
      </c>
      <c r="E35" s="6">
        <v>0</v>
      </c>
      <c r="F35" s="6">
        <v>13.5</v>
      </c>
      <c r="G35" s="7">
        <f>F35-E35</f>
        <v>13.5</v>
      </c>
      <c r="H35" s="8" t="str">
        <f>IF(E35=0, "순증/신규", (F35-E35)/E35)</f>
        <v>순증/신규</v>
      </c>
      <c r="I35" s="5" t="s">
        <v>89</v>
      </c>
    </row>
    <row r="36" spans="1:9" ht="22.05" customHeight="1" x14ac:dyDescent="0.4">
      <c r="A36" s="9">
        <v>32</v>
      </c>
      <c r="B36" s="10" t="s">
        <v>85</v>
      </c>
      <c r="C36" s="10" t="s">
        <v>90</v>
      </c>
      <c r="D36" s="9" t="s">
        <v>13</v>
      </c>
      <c r="E36" s="11">
        <v>0</v>
      </c>
      <c r="F36" s="11">
        <v>5.59</v>
      </c>
      <c r="G36" s="12">
        <f>F36-E36</f>
        <v>5.59</v>
      </c>
      <c r="H36" s="13" t="str">
        <f>IF(E36=0, "순증/신규", (F36-E36)/E36)</f>
        <v>순증/신규</v>
      </c>
      <c r="I36" s="10" t="s">
        <v>91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8F05-D612-4390-8AE8-CE4E754B3EDD}">
  <dimension ref="A1:I32"/>
  <sheetViews>
    <sheetView workbookViewId="0">
      <pane ySplit="4" topLeftCell="A5" activePane="bottomLeft" state="frozenSplit"/>
      <selection pane="bottomLeft"/>
    </sheetView>
  </sheetViews>
  <sheetFormatPr defaultRowHeight="17.399999999999999" x14ac:dyDescent="0.4"/>
  <cols>
    <col min="1" max="1" width="65.69921875" customWidth="1"/>
    <col min="2" max="2" width="14.09765625" customWidth="1"/>
    <col min="3" max="3" width="49.09765625" customWidth="1"/>
    <col min="4" max="4" width="44.8984375" customWidth="1"/>
    <col min="5" max="5" width="14.5" customWidth="1"/>
    <col min="6" max="6" width="16.5" customWidth="1"/>
    <col min="7" max="7" width="12.5" customWidth="1"/>
    <col min="8" max="8" width="12.59765625" customWidth="1"/>
    <col min="9" max="9" width="65.69921875" customWidth="1"/>
    <col min="10" max="10" width="11.796875" customWidth="1"/>
  </cols>
  <sheetData>
    <row r="1" spans="1:9" ht="25.2" x14ac:dyDescent="0.4">
      <c r="A1" s="1" t="s">
        <v>92</v>
      </c>
    </row>
    <row r="2" spans="1:9" x14ac:dyDescent="0.4">
      <c r="A2" s="2" t="s">
        <v>93</v>
      </c>
    </row>
    <row r="4" spans="1:9" ht="25.95" customHeight="1" x14ac:dyDescent="0.4">
      <c r="A4" s="15" t="s">
        <v>2</v>
      </c>
      <c r="B4" s="15" t="s">
        <v>94</v>
      </c>
      <c r="C4" s="15" t="s">
        <v>95</v>
      </c>
      <c r="D4" s="15" t="s">
        <v>96</v>
      </c>
      <c r="E4" s="15" t="s">
        <v>97</v>
      </c>
      <c r="F4" s="15" t="s">
        <v>98</v>
      </c>
      <c r="G4" s="15" t="s">
        <v>99</v>
      </c>
      <c r="H4" s="15" t="s">
        <v>9</v>
      </c>
      <c r="I4" s="15" t="s">
        <v>100</v>
      </c>
    </row>
    <row r="5" spans="1:9" ht="22.05" customHeight="1" x14ac:dyDescent="0.4">
      <c r="A5" s="14">
        <v>1</v>
      </c>
      <c r="B5" s="14" t="s">
        <v>101</v>
      </c>
      <c r="C5" s="16" t="s">
        <v>102</v>
      </c>
      <c r="D5" s="16" t="s">
        <v>103</v>
      </c>
      <c r="E5" s="17">
        <v>90222</v>
      </c>
      <c r="F5" s="17">
        <v>121744</v>
      </c>
      <c r="G5" s="18">
        <f>F5-E5</f>
        <v>31522</v>
      </c>
      <c r="H5" s="19">
        <f>IF(E5=0, "순증/신규", (F5-E5)/E5)</f>
        <v>0.34938263394737423</v>
      </c>
      <c r="I5" s="16" t="s">
        <v>104</v>
      </c>
    </row>
    <row r="6" spans="1:9" ht="22.05" customHeight="1" x14ac:dyDescent="0.4">
      <c r="A6" s="9">
        <v>2</v>
      </c>
      <c r="B6" s="9" t="s">
        <v>101</v>
      </c>
      <c r="C6" s="10" t="s">
        <v>105</v>
      </c>
      <c r="D6" s="10" t="s">
        <v>106</v>
      </c>
      <c r="E6" s="11">
        <v>940</v>
      </c>
      <c r="F6" s="11">
        <v>1872</v>
      </c>
      <c r="G6" s="12">
        <f>F6-E6</f>
        <v>932</v>
      </c>
      <c r="H6" s="13">
        <f>IF(E6=0, "순증/신규", (F6-E6)/E6)</f>
        <v>0.99148936170212765</v>
      </c>
      <c r="I6" s="10" t="s">
        <v>107</v>
      </c>
    </row>
    <row r="7" spans="1:9" ht="22.05" customHeight="1" x14ac:dyDescent="0.4">
      <c r="A7" s="14">
        <v>3</v>
      </c>
      <c r="B7" s="14" t="s">
        <v>101</v>
      </c>
      <c r="C7" s="16" t="s">
        <v>108</v>
      </c>
      <c r="D7" s="16" t="s">
        <v>109</v>
      </c>
      <c r="E7" s="17">
        <v>4968</v>
      </c>
      <c r="F7" s="17">
        <v>7727</v>
      </c>
      <c r="G7" s="18">
        <f>F7-E7</f>
        <v>2759</v>
      </c>
      <c r="H7" s="19">
        <f>IF(E7=0, "순증/신규", (F7-E7)/E7)</f>
        <v>0.55535426731078907</v>
      </c>
      <c r="I7" s="16" t="s">
        <v>110</v>
      </c>
    </row>
    <row r="8" spans="1:9" ht="22.05" customHeight="1" x14ac:dyDescent="0.4">
      <c r="A8" s="9">
        <v>4</v>
      </c>
      <c r="B8" s="9" t="s">
        <v>101</v>
      </c>
      <c r="C8" s="10" t="s">
        <v>111</v>
      </c>
      <c r="D8" s="10" t="s">
        <v>112</v>
      </c>
      <c r="E8" s="11">
        <v>296</v>
      </c>
      <c r="F8" s="11">
        <v>771</v>
      </c>
      <c r="G8" s="12">
        <f>F8-E8</f>
        <v>475</v>
      </c>
      <c r="H8" s="13">
        <f>IF(E8=0, "순증/신규", (F8-E8)/E8)</f>
        <v>1.6047297297297298</v>
      </c>
      <c r="I8" s="10" t="s">
        <v>113</v>
      </c>
    </row>
    <row r="9" spans="1:9" ht="22.05" customHeight="1" x14ac:dyDescent="0.4">
      <c r="A9" s="14">
        <v>5</v>
      </c>
      <c r="B9" s="14" t="s">
        <v>101</v>
      </c>
      <c r="C9" s="16" t="s">
        <v>114</v>
      </c>
      <c r="D9" s="16" t="s">
        <v>115</v>
      </c>
      <c r="E9" s="17">
        <v>6788</v>
      </c>
      <c r="F9" s="17">
        <v>8061</v>
      </c>
      <c r="G9" s="18">
        <f>F9-E9</f>
        <v>1273</v>
      </c>
      <c r="H9" s="19">
        <f>IF(E9=0, "순증/신규", (F9-E9)/E9)</f>
        <v>0.18753682969946966</v>
      </c>
      <c r="I9" s="16" t="s">
        <v>116</v>
      </c>
    </row>
    <row r="10" spans="1:9" ht="22.05" customHeight="1" x14ac:dyDescent="0.4">
      <c r="A10" s="9">
        <v>6</v>
      </c>
      <c r="B10" s="9" t="s">
        <v>117</v>
      </c>
      <c r="C10" s="10" t="s">
        <v>118</v>
      </c>
      <c r="D10" s="10" t="s">
        <v>119</v>
      </c>
      <c r="E10" s="11">
        <v>132</v>
      </c>
      <c r="F10" s="11">
        <v>565</v>
      </c>
      <c r="G10" s="12">
        <f>F10-E10</f>
        <v>433</v>
      </c>
      <c r="H10" s="13">
        <f>IF(E10=0, "순증/신규", (F10-E10)/E10)</f>
        <v>3.2803030303030303</v>
      </c>
      <c r="I10" s="10" t="s">
        <v>120</v>
      </c>
    </row>
    <row r="11" spans="1:9" ht="22.05" customHeight="1" x14ac:dyDescent="0.4">
      <c r="A11" s="14">
        <v>7</v>
      </c>
      <c r="B11" s="14" t="s">
        <v>117</v>
      </c>
      <c r="C11" s="16" t="s">
        <v>121</v>
      </c>
      <c r="D11" s="16" t="s">
        <v>122</v>
      </c>
      <c r="E11" s="17">
        <v>0</v>
      </c>
      <c r="F11" s="17">
        <v>90</v>
      </c>
      <c r="G11" s="18">
        <f>F11-E11</f>
        <v>90</v>
      </c>
      <c r="H11" s="19" t="str">
        <f>IF(E11=0, "순증/신규", (F11-E11)/E11)</f>
        <v>순증/신규</v>
      </c>
      <c r="I11" s="16" t="s">
        <v>123</v>
      </c>
    </row>
    <row r="12" spans="1:9" ht="22.05" customHeight="1" x14ac:dyDescent="0.4">
      <c r="A12" s="9">
        <v>8</v>
      </c>
      <c r="B12" s="9" t="s">
        <v>124</v>
      </c>
      <c r="C12" s="10" t="s">
        <v>125</v>
      </c>
      <c r="D12" s="10" t="s">
        <v>126</v>
      </c>
      <c r="E12" s="11">
        <v>0</v>
      </c>
      <c r="F12" s="11">
        <v>30</v>
      </c>
      <c r="G12" s="12">
        <f>F12-E12</f>
        <v>30</v>
      </c>
      <c r="H12" s="13" t="str">
        <f>IF(E12=0, "순증/신규", (F12-E12)/E12)</f>
        <v>순증/신규</v>
      </c>
      <c r="I12" s="10" t="s">
        <v>127</v>
      </c>
    </row>
    <row r="13" spans="1:9" ht="22.05" customHeight="1" x14ac:dyDescent="0.4">
      <c r="A13" s="14">
        <v>9</v>
      </c>
      <c r="B13" s="14" t="s">
        <v>128</v>
      </c>
      <c r="C13" s="16" t="s">
        <v>129</v>
      </c>
      <c r="D13" s="16" t="s">
        <v>130</v>
      </c>
      <c r="E13" s="17">
        <v>0</v>
      </c>
      <c r="F13" s="17">
        <v>316</v>
      </c>
      <c r="G13" s="18">
        <f>F13-E13</f>
        <v>316</v>
      </c>
      <c r="H13" s="19" t="str">
        <f>IF(E13=0, "순증/신규", (F13-E13)/E13)</f>
        <v>순증/신규</v>
      </c>
      <c r="I13" s="16" t="s">
        <v>131</v>
      </c>
    </row>
    <row r="14" spans="1:9" ht="22.05" customHeight="1" x14ac:dyDescent="0.4">
      <c r="A14" s="9">
        <v>10</v>
      </c>
      <c r="B14" s="9" t="s">
        <v>128</v>
      </c>
      <c r="C14" s="10" t="s">
        <v>132</v>
      </c>
      <c r="D14" s="10" t="s">
        <v>133</v>
      </c>
      <c r="E14" s="11">
        <v>531.5</v>
      </c>
      <c r="F14" s="11">
        <v>1152</v>
      </c>
      <c r="G14" s="12">
        <f>F14-E14</f>
        <v>620.5</v>
      </c>
      <c r="H14" s="13">
        <f>IF(E14=0, "순증/신규", (F14-E14)/E14)</f>
        <v>1.1674506114769521</v>
      </c>
      <c r="I14" s="10" t="s">
        <v>134</v>
      </c>
    </row>
    <row r="15" spans="1:9" ht="22.05" customHeight="1" x14ac:dyDescent="0.4">
      <c r="A15" s="14">
        <v>11</v>
      </c>
      <c r="B15" s="14" t="s">
        <v>128</v>
      </c>
      <c r="C15" s="16" t="s">
        <v>135</v>
      </c>
      <c r="D15" s="16" t="s">
        <v>130</v>
      </c>
      <c r="E15" s="17">
        <v>0</v>
      </c>
      <c r="F15" s="17">
        <v>189</v>
      </c>
      <c r="G15" s="18">
        <f>F15-E15</f>
        <v>189</v>
      </c>
      <c r="H15" s="19" t="str">
        <f>IF(E15=0, "순증/신규", (F15-E15)/E15)</f>
        <v>순증/신규</v>
      </c>
      <c r="I15" s="16" t="s">
        <v>136</v>
      </c>
    </row>
    <row r="16" spans="1:9" ht="22.05" customHeight="1" x14ac:dyDescent="0.4">
      <c r="A16" s="9">
        <v>12</v>
      </c>
      <c r="B16" s="9" t="s">
        <v>128</v>
      </c>
      <c r="C16" s="10" t="s">
        <v>137</v>
      </c>
      <c r="D16" s="10" t="s">
        <v>138</v>
      </c>
      <c r="E16" s="11">
        <v>0</v>
      </c>
      <c r="F16" s="11">
        <v>1.05</v>
      </c>
      <c r="G16" s="12">
        <f>F16-E16</f>
        <v>1.05</v>
      </c>
      <c r="H16" s="13" t="str">
        <f>IF(E16=0, "순증/신규", (F16-E16)/E16)</f>
        <v>순증/신규</v>
      </c>
      <c r="I16" s="10" t="s">
        <v>139</v>
      </c>
    </row>
    <row r="17" spans="1:9" ht="22.05" customHeight="1" x14ac:dyDescent="0.4">
      <c r="A17" s="14">
        <v>13</v>
      </c>
      <c r="B17" s="14" t="s">
        <v>128</v>
      </c>
      <c r="C17" s="16" t="s">
        <v>140</v>
      </c>
      <c r="D17" s="16" t="s">
        <v>141</v>
      </c>
      <c r="E17" s="17">
        <v>2838</v>
      </c>
      <c r="F17" s="17">
        <v>3302</v>
      </c>
      <c r="G17" s="18">
        <f>F17-E17</f>
        <v>464</v>
      </c>
      <c r="H17" s="19">
        <f>IF(E17=0, "순증/신규", (F17-E17)/E17)</f>
        <v>0.16349541930937281</v>
      </c>
      <c r="I17" s="16" t="s">
        <v>142</v>
      </c>
    </row>
    <row r="18" spans="1:9" ht="22.05" customHeight="1" x14ac:dyDescent="0.4">
      <c r="A18" s="9">
        <v>14</v>
      </c>
      <c r="B18" s="9" t="s">
        <v>128</v>
      </c>
      <c r="C18" s="10" t="s">
        <v>143</v>
      </c>
      <c r="D18" s="10" t="s">
        <v>144</v>
      </c>
      <c r="E18" s="11">
        <v>1.1000000000000001</v>
      </c>
      <c r="F18" s="11">
        <v>8.1</v>
      </c>
      <c r="G18" s="12">
        <f>F18-E18</f>
        <v>7</v>
      </c>
      <c r="H18" s="13">
        <f>IF(E18=0, "순증/신규", (F18-E18)/E18)</f>
        <v>6.3636363636363633</v>
      </c>
      <c r="I18" s="10" t="s">
        <v>145</v>
      </c>
    </row>
    <row r="19" spans="1:9" ht="22.05" customHeight="1" x14ac:dyDescent="0.4">
      <c r="A19" s="14">
        <v>15</v>
      </c>
      <c r="B19" s="14" t="s">
        <v>146</v>
      </c>
      <c r="C19" s="16" t="s">
        <v>147</v>
      </c>
      <c r="D19" s="16" t="s">
        <v>148</v>
      </c>
      <c r="E19" s="17">
        <v>87</v>
      </c>
      <c r="F19" s="17">
        <v>256</v>
      </c>
      <c r="G19" s="18">
        <f>F19-E19</f>
        <v>169</v>
      </c>
      <c r="H19" s="19">
        <f>IF(E19=0, "순증/신규", (F19-E19)/E19)</f>
        <v>1.9425287356321839</v>
      </c>
      <c r="I19" s="16" t="s">
        <v>149</v>
      </c>
    </row>
    <row r="20" spans="1:9" ht="22.05" customHeight="1" x14ac:dyDescent="0.4">
      <c r="A20" s="9">
        <v>16</v>
      </c>
      <c r="B20" s="9" t="s">
        <v>146</v>
      </c>
      <c r="C20" s="10" t="s">
        <v>150</v>
      </c>
      <c r="D20" s="10" t="s">
        <v>151</v>
      </c>
      <c r="E20" s="11">
        <v>688</v>
      </c>
      <c r="F20" s="11">
        <v>903</v>
      </c>
      <c r="G20" s="12">
        <f>F20-E20</f>
        <v>215</v>
      </c>
      <c r="H20" s="13">
        <f>IF(E20=0, "순증/신규", (F20-E20)/E20)</f>
        <v>0.3125</v>
      </c>
      <c r="I20" s="10" t="s">
        <v>152</v>
      </c>
    </row>
    <row r="21" spans="1:9" ht="22.05" customHeight="1" x14ac:dyDescent="0.4">
      <c r="A21" s="14">
        <v>17</v>
      </c>
      <c r="B21" s="14" t="s">
        <v>146</v>
      </c>
      <c r="C21" s="16" t="s">
        <v>153</v>
      </c>
      <c r="D21" s="16" t="s">
        <v>151</v>
      </c>
      <c r="E21" s="17">
        <v>0</v>
      </c>
      <c r="F21" s="17">
        <v>7.2</v>
      </c>
      <c r="G21" s="18">
        <f>F21-E21</f>
        <v>7.2</v>
      </c>
      <c r="H21" s="19" t="str">
        <f>IF(E21=0, "순증/신규", (F21-E21)/E21)</f>
        <v>순증/신규</v>
      </c>
      <c r="I21" s="16" t="s">
        <v>154</v>
      </c>
    </row>
    <row r="22" spans="1:9" ht="22.05" customHeight="1" x14ac:dyDescent="0.4">
      <c r="A22" s="9">
        <v>18</v>
      </c>
      <c r="B22" s="9" t="s">
        <v>128</v>
      </c>
      <c r="C22" s="10" t="s">
        <v>67</v>
      </c>
      <c r="D22" s="10" t="s">
        <v>155</v>
      </c>
      <c r="E22" s="11">
        <v>0</v>
      </c>
      <c r="F22" s="11">
        <v>69</v>
      </c>
      <c r="G22" s="12">
        <f>F22-E22</f>
        <v>69</v>
      </c>
      <c r="H22" s="13" t="str">
        <f>IF(E22=0, "순증/신규", (F22-E22)/E22)</f>
        <v>순증/신규</v>
      </c>
      <c r="I22" s="10" t="s">
        <v>156</v>
      </c>
    </row>
    <row r="23" spans="1:9" ht="22.05" customHeight="1" x14ac:dyDescent="0.4">
      <c r="A23" s="14">
        <v>19</v>
      </c>
      <c r="B23" s="14" t="s">
        <v>128</v>
      </c>
      <c r="C23" s="16" t="s">
        <v>157</v>
      </c>
      <c r="D23" s="16" t="s">
        <v>158</v>
      </c>
      <c r="E23" s="17">
        <v>370</v>
      </c>
      <c r="F23" s="17">
        <v>395</v>
      </c>
      <c r="G23" s="18">
        <f>F23-E23</f>
        <v>25</v>
      </c>
      <c r="H23" s="19">
        <f>IF(E23=0, "순증/신규", (F23-E23)/E23)</f>
        <v>6.7567567567567571E-2</v>
      </c>
      <c r="I23" s="16" t="s">
        <v>159</v>
      </c>
    </row>
    <row r="24" spans="1:9" ht="22.05" customHeight="1" x14ac:dyDescent="0.4">
      <c r="A24" s="9">
        <v>20</v>
      </c>
      <c r="B24" s="9" t="s">
        <v>128</v>
      </c>
      <c r="C24" s="10" t="s">
        <v>160</v>
      </c>
      <c r="D24" s="10" t="s">
        <v>161</v>
      </c>
      <c r="E24" s="11">
        <v>0</v>
      </c>
      <c r="F24" s="11">
        <v>8.5</v>
      </c>
      <c r="G24" s="12">
        <f>F24-E24</f>
        <v>8.5</v>
      </c>
      <c r="H24" s="13" t="str">
        <f>IF(E24=0, "순증/신규", (F24-E24)/E24)</f>
        <v>순증/신규</v>
      </c>
      <c r="I24" s="10" t="s">
        <v>162</v>
      </c>
    </row>
    <row r="25" spans="1:9" ht="22.05" customHeight="1" x14ac:dyDescent="0.4">
      <c r="A25" s="14">
        <v>21</v>
      </c>
      <c r="B25" s="14" t="s">
        <v>163</v>
      </c>
      <c r="C25" s="16" t="s">
        <v>164</v>
      </c>
      <c r="D25" s="16" t="s">
        <v>165</v>
      </c>
      <c r="E25" s="17">
        <v>54</v>
      </c>
      <c r="F25" s="17">
        <v>124</v>
      </c>
      <c r="G25" s="18">
        <f>F25-E25</f>
        <v>70</v>
      </c>
      <c r="H25" s="19">
        <f>IF(E25=0, "순증/신규", (F25-E25)/E25)</f>
        <v>1.2962962962962963</v>
      </c>
      <c r="I25" s="16" t="s">
        <v>166</v>
      </c>
    </row>
    <row r="26" spans="1:9" ht="22.05" customHeight="1" x14ac:dyDescent="0.4">
      <c r="A26" s="9">
        <v>22</v>
      </c>
      <c r="B26" s="9" t="s">
        <v>163</v>
      </c>
      <c r="C26" s="10" t="s">
        <v>167</v>
      </c>
      <c r="D26" s="10" t="s">
        <v>165</v>
      </c>
      <c r="E26" s="11">
        <v>659</v>
      </c>
      <c r="F26" s="11">
        <v>758</v>
      </c>
      <c r="G26" s="12">
        <f>F26-E26</f>
        <v>99</v>
      </c>
      <c r="H26" s="13">
        <f>IF(E26=0, "순증/신규", (F26-E26)/E26)</f>
        <v>0.15022761760242792</v>
      </c>
      <c r="I26" s="10" t="s">
        <v>168</v>
      </c>
    </row>
    <row r="27" spans="1:9" ht="22.05" customHeight="1" x14ac:dyDescent="0.4">
      <c r="A27" s="14">
        <v>23</v>
      </c>
      <c r="B27" s="14" t="s">
        <v>163</v>
      </c>
      <c r="C27" s="16" t="s">
        <v>169</v>
      </c>
      <c r="D27" s="16" t="s">
        <v>165</v>
      </c>
      <c r="E27" s="17">
        <v>78</v>
      </c>
      <c r="F27" s="17">
        <v>174</v>
      </c>
      <c r="G27" s="18">
        <f>F27-E27</f>
        <v>96</v>
      </c>
      <c r="H27" s="19">
        <f>IF(E27=0, "순증/신규", (F27-E27)/E27)</f>
        <v>1.2307692307692308</v>
      </c>
      <c r="I27" s="16" t="s">
        <v>170</v>
      </c>
    </row>
    <row r="28" spans="1:9" ht="22.05" customHeight="1" x14ac:dyDescent="0.4">
      <c r="A28" s="9">
        <v>24</v>
      </c>
      <c r="B28" s="9" t="s">
        <v>163</v>
      </c>
      <c r="C28" s="10" t="s">
        <v>171</v>
      </c>
      <c r="D28" s="10" t="s">
        <v>165</v>
      </c>
      <c r="E28" s="11">
        <v>512</v>
      </c>
      <c r="F28" s="11">
        <v>627</v>
      </c>
      <c r="G28" s="12">
        <f>F28-E28</f>
        <v>115</v>
      </c>
      <c r="H28" s="13">
        <f>IF(E28=0, "순증/신규", (F28-E28)/E28)</f>
        <v>0.224609375</v>
      </c>
      <c r="I28" s="10" t="s">
        <v>172</v>
      </c>
    </row>
    <row r="29" spans="1:9" ht="22.05" customHeight="1" x14ac:dyDescent="0.4">
      <c r="A29" s="14">
        <v>25</v>
      </c>
      <c r="B29" s="14" t="s">
        <v>173</v>
      </c>
      <c r="C29" s="16" t="s">
        <v>174</v>
      </c>
      <c r="D29" s="16" t="s">
        <v>175</v>
      </c>
      <c r="E29" s="17">
        <v>0</v>
      </c>
      <c r="F29" s="17">
        <v>19.32</v>
      </c>
      <c r="G29" s="18">
        <f>F29-E29</f>
        <v>19.32</v>
      </c>
      <c r="H29" s="19" t="str">
        <f>IF(E29=0, "순증/신규", (F29-E29)/E29)</f>
        <v>순증/신규</v>
      </c>
      <c r="I29" s="16" t="s">
        <v>176</v>
      </c>
    </row>
    <row r="30" spans="1:9" ht="22.05" customHeight="1" x14ac:dyDescent="0.4">
      <c r="A30" s="9">
        <v>26</v>
      </c>
      <c r="B30" s="9" t="s">
        <v>173</v>
      </c>
      <c r="C30" s="10" t="s">
        <v>177</v>
      </c>
      <c r="D30" s="10" t="s">
        <v>178</v>
      </c>
      <c r="E30" s="11">
        <v>0</v>
      </c>
      <c r="F30" s="11">
        <v>13.5</v>
      </c>
      <c r="G30" s="12">
        <f>F30-E30</f>
        <v>13.5</v>
      </c>
      <c r="H30" s="13" t="str">
        <f>IF(E30=0, "순증/신규", (F30-E30)/E30)</f>
        <v>순증/신규</v>
      </c>
      <c r="I30" s="10" t="s">
        <v>179</v>
      </c>
    </row>
    <row r="31" spans="1:9" ht="22.05" customHeight="1" x14ac:dyDescent="0.4">
      <c r="A31" s="14">
        <v>27</v>
      </c>
      <c r="B31" s="14" t="s">
        <v>173</v>
      </c>
      <c r="C31" s="16" t="s">
        <v>180</v>
      </c>
      <c r="D31" s="16" t="s">
        <v>181</v>
      </c>
      <c r="E31" s="17">
        <v>0</v>
      </c>
      <c r="F31" s="17">
        <v>5.59</v>
      </c>
      <c r="G31" s="18">
        <f>F31-E31</f>
        <v>5.59</v>
      </c>
      <c r="H31" s="19" t="str">
        <f>IF(E31=0, "순증/신규", (F31-E31)/E31)</f>
        <v>순증/신규</v>
      </c>
      <c r="I31" s="16" t="s">
        <v>182</v>
      </c>
    </row>
    <row r="32" spans="1:9" ht="22.05" customHeight="1" x14ac:dyDescent="0.4">
      <c r="A32" s="20" t="s">
        <v>183</v>
      </c>
      <c r="B32" s="20" t="s">
        <v>184</v>
      </c>
      <c r="C32" s="21" t="s">
        <v>185</v>
      </c>
      <c r="D32" s="20" t="s">
        <v>184</v>
      </c>
      <c r="E32" s="22">
        <f>SUM(E31)</f>
        <v>0</v>
      </c>
      <c r="F32" s="22">
        <f>SUM(F31)</f>
        <v>5.59</v>
      </c>
      <c r="G32" s="23">
        <f>F32-E32</f>
        <v>5.59</v>
      </c>
      <c r="H32" s="24" t="e">
        <f>(F32-E32)/E32</f>
        <v>#DIV/0!</v>
      </c>
      <c r="I32" s="21" t="s">
        <v>186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246A-33C8-4954-87DC-548865A1ED35}">
  <dimension ref="A1:G38"/>
  <sheetViews>
    <sheetView workbookViewId="0">
      <pane ySplit="4" topLeftCell="A5" activePane="bottomLeft" state="frozenSplit"/>
      <selection pane="bottomLeft"/>
    </sheetView>
  </sheetViews>
  <sheetFormatPr defaultRowHeight="17.399999999999999" x14ac:dyDescent="0.4"/>
  <cols>
    <col min="1" max="1" width="65.69921875" customWidth="1"/>
    <col min="2" max="2" width="29.796875" customWidth="1"/>
    <col min="3" max="3" width="17.8984375" customWidth="1"/>
    <col min="4" max="4" width="19.59765625" customWidth="1"/>
    <col min="5" max="5" width="16.19921875" customWidth="1"/>
    <col min="6" max="6" width="12.59765625" customWidth="1"/>
    <col min="7" max="7" width="54.19921875" customWidth="1"/>
    <col min="8" max="10" width="11.796875" customWidth="1"/>
  </cols>
  <sheetData>
    <row r="1" spans="1:7" ht="25.2" x14ac:dyDescent="0.4">
      <c r="A1" s="1" t="s">
        <v>187</v>
      </c>
    </row>
    <row r="2" spans="1:7" x14ac:dyDescent="0.4">
      <c r="A2" s="2" t="s">
        <v>188</v>
      </c>
    </row>
    <row r="4" spans="1:7" ht="25.95" customHeight="1" x14ac:dyDescent="0.4">
      <c r="A4" s="25" t="s">
        <v>189</v>
      </c>
      <c r="B4" s="25" t="s">
        <v>190</v>
      </c>
      <c r="C4" s="25" t="s">
        <v>191</v>
      </c>
      <c r="D4" s="25" t="s">
        <v>7</v>
      </c>
      <c r="E4" s="25" t="s">
        <v>192</v>
      </c>
      <c r="F4" s="25" t="s">
        <v>193</v>
      </c>
      <c r="G4" s="25" t="s">
        <v>194</v>
      </c>
    </row>
    <row r="5" spans="1:7" ht="22.05" customHeight="1" x14ac:dyDescent="0.4">
      <c r="A5" s="5" t="s">
        <v>195</v>
      </c>
      <c r="B5" s="5" t="s">
        <v>196</v>
      </c>
      <c r="C5" s="6">
        <v>677040</v>
      </c>
      <c r="D5" s="6">
        <v>732777</v>
      </c>
      <c r="E5" s="7">
        <f>D5-C5</f>
        <v>55737</v>
      </c>
      <c r="F5" s="8">
        <f>IF(C5=0, "-", (D5-C5)/ABS(C5))</f>
        <v>8.232453030840127E-2</v>
      </c>
      <c r="G5" s="5" t="s">
        <v>197</v>
      </c>
    </row>
    <row r="6" spans="1:7" ht="22.05" customHeight="1" x14ac:dyDescent="0.4">
      <c r="A6" s="10" t="s">
        <v>198</v>
      </c>
      <c r="B6" s="10" t="s">
        <v>199</v>
      </c>
      <c r="C6" s="11">
        <v>472318</v>
      </c>
      <c r="D6" s="11">
        <v>500416</v>
      </c>
      <c r="E6" s="12">
        <f>D6-C6</f>
        <v>28098</v>
      </c>
      <c r="F6" s="13">
        <f>IF(C6=0, "-", (D6-C6)/ABS(C6))</f>
        <v>5.9489581172006999E-2</v>
      </c>
      <c r="G6" s="10" t="s">
        <v>200</v>
      </c>
    </row>
    <row r="7" spans="1:7" ht="22.05" customHeight="1" x14ac:dyDescent="0.4">
      <c r="A7" s="5" t="s">
        <v>201</v>
      </c>
      <c r="B7" s="5" t="s">
        <v>202</v>
      </c>
      <c r="C7" s="6">
        <v>458989</v>
      </c>
      <c r="D7" s="6">
        <v>490614</v>
      </c>
      <c r="E7" s="7">
        <f>D7-C7</f>
        <v>31625</v>
      </c>
      <c r="F7" s="8">
        <f>IF(C7=0, "-", (D7-C7)/ABS(C7))</f>
        <v>6.8901433367684187E-2</v>
      </c>
      <c r="G7" s="5" t="s">
        <v>203</v>
      </c>
    </row>
    <row r="8" spans="1:7" ht="22.05" customHeight="1" x14ac:dyDescent="0.4">
      <c r="A8" s="10" t="s">
        <v>204</v>
      </c>
      <c r="B8" s="10" t="s">
        <v>205</v>
      </c>
      <c r="C8" s="11">
        <v>263248</v>
      </c>
      <c r="D8" s="11">
        <v>272550</v>
      </c>
      <c r="E8" s="12">
        <f>D8-C8</f>
        <v>9302</v>
      </c>
      <c r="F8" s="13">
        <f>IF(C8=0, "-", (D8-C8)/ABS(C8))</f>
        <v>3.5335501124414997E-2</v>
      </c>
      <c r="G8" s="10" t="s">
        <v>206</v>
      </c>
    </row>
    <row r="9" spans="1:7" ht="22.05" customHeight="1" x14ac:dyDescent="0.4">
      <c r="A9" s="5" t="s">
        <v>207</v>
      </c>
      <c r="B9" s="5" t="s">
        <v>208</v>
      </c>
      <c r="C9" s="6">
        <v>192347</v>
      </c>
      <c r="D9" s="6">
        <v>197235</v>
      </c>
      <c r="E9" s="7">
        <f>D9-C9</f>
        <v>4888</v>
      </c>
      <c r="F9" s="8">
        <f>IF(C9=0, "-", (D9-C9)/ABS(C9))</f>
        <v>2.5412405704274048E-2</v>
      </c>
      <c r="G9" s="5" t="s">
        <v>209</v>
      </c>
    </row>
    <row r="10" spans="1:7" ht="22.05" customHeight="1" x14ac:dyDescent="0.4">
      <c r="A10" s="10" t="s">
        <v>210</v>
      </c>
      <c r="B10" s="10" t="s">
        <v>211</v>
      </c>
      <c r="C10" s="11">
        <v>44518</v>
      </c>
      <c r="D10" s="11">
        <v>48649</v>
      </c>
      <c r="E10" s="12">
        <f>D10-C10</f>
        <v>4131</v>
      </c>
      <c r="F10" s="13">
        <f>IF(C10=0, "-", (D10-C10)/ABS(C10))</f>
        <v>9.2793926052383305E-2</v>
      </c>
      <c r="G10" s="10" t="s">
        <v>212</v>
      </c>
    </row>
    <row r="11" spans="1:7" ht="22.05" customHeight="1" x14ac:dyDescent="0.4">
      <c r="A11" s="5" t="s">
        <v>213</v>
      </c>
      <c r="B11" s="5" t="s">
        <v>214</v>
      </c>
      <c r="C11" s="6">
        <v>26382</v>
      </c>
      <c r="D11" s="6">
        <v>26666</v>
      </c>
      <c r="E11" s="7">
        <f>D11-C11</f>
        <v>284</v>
      </c>
      <c r="F11" s="8">
        <f>IF(C11=0, "-", (D11-C11)/ABS(C11))</f>
        <v>1.076491547267076E-2</v>
      </c>
      <c r="G11" s="5" t="s">
        <v>215</v>
      </c>
    </row>
    <row r="12" spans="1:7" ht="22.05" customHeight="1" x14ac:dyDescent="0.4">
      <c r="A12" s="10" t="s">
        <v>216</v>
      </c>
      <c r="B12" s="10" t="s">
        <v>217</v>
      </c>
      <c r="C12" s="11">
        <v>195741</v>
      </c>
      <c r="D12" s="11">
        <v>218064</v>
      </c>
      <c r="E12" s="12">
        <f>D12-C12</f>
        <v>22323</v>
      </c>
      <c r="F12" s="13">
        <f>IF(C12=0, "-", (D12-C12)/ABS(C12))</f>
        <v>0.11404355755820191</v>
      </c>
      <c r="G12" s="10" t="s">
        <v>218</v>
      </c>
    </row>
    <row r="13" spans="1:7" ht="22.05" customHeight="1" x14ac:dyDescent="0.4">
      <c r="A13" s="5" t="s">
        <v>219</v>
      </c>
      <c r="B13" s="5" t="s">
        <v>220</v>
      </c>
      <c r="C13" s="6">
        <v>70449</v>
      </c>
      <c r="D13" s="6">
        <v>80174</v>
      </c>
      <c r="E13" s="7">
        <f>D13-C13</f>
        <v>9725</v>
      </c>
      <c r="F13" s="8">
        <f>IF(C13=0, "-", (D13-C13)/ABS(C13))</f>
        <v>0.13804312339422845</v>
      </c>
      <c r="G13" s="5" t="s">
        <v>221</v>
      </c>
    </row>
    <row r="14" spans="1:7" ht="22.05" customHeight="1" x14ac:dyDescent="0.4">
      <c r="A14" s="10" t="s">
        <v>222</v>
      </c>
      <c r="B14" s="10" t="s">
        <v>223</v>
      </c>
      <c r="C14" s="11">
        <v>29892</v>
      </c>
      <c r="D14" s="11">
        <v>33155</v>
      </c>
      <c r="E14" s="12">
        <f>D14-C14</f>
        <v>3263</v>
      </c>
      <c r="F14" s="13">
        <f>IF(C14=0, "-", (D14-C14)/ABS(C14))</f>
        <v>0.1091596413756189</v>
      </c>
      <c r="G14" s="10" t="s">
        <v>224</v>
      </c>
    </row>
    <row r="15" spans="1:7" ht="22.05" customHeight="1" x14ac:dyDescent="0.4">
      <c r="A15" s="5" t="s">
        <v>225</v>
      </c>
      <c r="B15" s="5" t="s">
        <v>226</v>
      </c>
      <c r="C15" s="6">
        <v>24737</v>
      </c>
      <c r="D15" s="6">
        <v>26327</v>
      </c>
      <c r="E15" s="7">
        <f>D15-C15</f>
        <v>1590</v>
      </c>
      <c r="F15" s="8">
        <f>IF(C15=0, "-", (D15-C15)/ABS(C15))</f>
        <v>6.4276185471156572E-2</v>
      </c>
      <c r="G15" s="5" t="s">
        <v>227</v>
      </c>
    </row>
    <row r="16" spans="1:7" ht="22.05" customHeight="1" x14ac:dyDescent="0.4">
      <c r="A16" s="10" t="s">
        <v>228</v>
      </c>
      <c r="B16" s="10" t="s">
        <v>229</v>
      </c>
      <c r="C16" s="11">
        <v>21366</v>
      </c>
      <c r="D16" s="11">
        <v>23798</v>
      </c>
      <c r="E16" s="12">
        <f>D16-C16</f>
        <v>2432</v>
      </c>
      <c r="F16" s="13">
        <f>IF(C16=0, "-", (D16-C16)/ABS(C16))</f>
        <v>0.11382570439015258</v>
      </c>
      <c r="G16" s="10" t="s">
        <v>230</v>
      </c>
    </row>
    <row r="17" spans="1:7" ht="22.05" customHeight="1" x14ac:dyDescent="0.4">
      <c r="A17" s="5" t="s">
        <v>231</v>
      </c>
      <c r="B17" s="5" t="s">
        <v>232</v>
      </c>
      <c r="C17" s="6">
        <v>16659</v>
      </c>
      <c r="D17" s="6">
        <v>17250</v>
      </c>
      <c r="E17" s="7">
        <f>D17-C17</f>
        <v>591</v>
      </c>
      <c r="F17" s="8">
        <f>IF(C17=0, "-", (D17-C17)/ABS(C17))</f>
        <v>3.5476319106789125E-2</v>
      </c>
      <c r="G17" s="5" t="s">
        <v>233</v>
      </c>
    </row>
    <row r="18" spans="1:7" ht="22.05" customHeight="1" x14ac:dyDescent="0.4">
      <c r="A18" s="10" t="s">
        <v>234</v>
      </c>
      <c r="B18" s="10" t="s">
        <v>235</v>
      </c>
      <c r="C18" s="11">
        <v>9397</v>
      </c>
      <c r="D18" s="11">
        <v>11338</v>
      </c>
      <c r="E18" s="12">
        <f>D18-C18</f>
        <v>1941</v>
      </c>
      <c r="F18" s="13">
        <f>IF(C18=0, "-", (D18-C18)/ABS(C18))</f>
        <v>0.2065552836011493</v>
      </c>
      <c r="G18" s="10" t="s">
        <v>236</v>
      </c>
    </row>
    <row r="19" spans="1:7" ht="22.05" customHeight="1" x14ac:dyDescent="0.4">
      <c r="A19" s="5" t="s">
        <v>237</v>
      </c>
      <c r="B19" s="5" t="s">
        <v>238</v>
      </c>
      <c r="C19" s="6">
        <v>1600</v>
      </c>
      <c r="D19" s="6">
        <v>3610</v>
      </c>
      <c r="E19" s="7">
        <f>D19-C19</f>
        <v>2010</v>
      </c>
      <c r="F19" s="8">
        <f>IF(C19=0, "-", (D19-C19)/ABS(C19))</f>
        <v>1.2562500000000001</v>
      </c>
      <c r="G19" s="5" t="s">
        <v>239</v>
      </c>
    </row>
    <row r="20" spans="1:7" ht="22.05" customHeight="1" x14ac:dyDescent="0.4">
      <c r="A20" s="10" t="s">
        <v>240</v>
      </c>
      <c r="B20" s="10" t="s">
        <v>241</v>
      </c>
      <c r="C20" s="11">
        <v>2597</v>
      </c>
      <c r="D20" s="11">
        <v>2981</v>
      </c>
      <c r="E20" s="12">
        <f>D20-C20</f>
        <v>384</v>
      </c>
      <c r="F20" s="13">
        <f>IF(C20=0, "-", (D20-C20)/ABS(C20))</f>
        <v>0.14786291875240662</v>
      </c>
      <c r="G20" s="10" t="s">
        <v>242</v>
      </c>
    </row>
    <row r="21" spans="1:7" ht="22.05" customHeight="1" x14ac:dyDescent="0.4">
      <c r="A21" s="5" t="s">
        <v>243</v>
      </c>
      <c r="B21" s="5" t="s">
        <v>244</v>
      </c>
      <c r="C21" s="6">
        <v>69716</v>
      </c>
      <c r="D21" s="6">
        <v>75587</v>
      </c>
      <c r="E21" s="7">
        <f>D21-C21</f>
        <v>5871</v>
      </c>
      <c r="F21" s="8">
        <f>IF(C21=0, "-", (D21-C21)/ABS(C21))</f>
        <v>8.421309312066097E-2</v>
      </c>
      <c r="G21" s="5" t="s">
        <v>245</v>
      </c>
    </row>
    <row r="22" spans="1:7" ht="22.05" customHeight="1" x14ac:dyDescent="0.4">
      <c r="A22" s="10" t="s">
        <v>246</v>
      </c>
      <c r="B22" s="10" t="s">
        <v>247</v>
      </c>
      <c r="C22" s="11">
        <v>50997</v>
      </c>
      <c r="D22" s="11">
        <v>53865</v>
      </c>
      <c r="E22" s="12">
        <f>D22-C22</f>
        <v>2868</v>
      </c>
      <c r="F22" s="13">
        <f>IF(C22=0, "-", (D22-C22)/ABS(C22))</f>
        <v>5.6238602270721805E-2</v>
      </c>
      <c r="G22" s="10" t="s">
        <v>248</v>
      </c>
    </row>
    <row r="23" spans="1:7" ht="22.05" customHeight="1" x14ac:dyDescent="0.4">
      <c r="A23" s="5" t="s">
        <v>249</v>
      </c>
      <c r="B23" s="5" t="s">
        <v>250</v>
      </c>
      <c r="C23" s="6">
        <v>9833</v>
      </c>
      <c r="D23" s="6">
        <v>10352</v>
      </c>
      <c r="E23" s="7">
        <f>D23-C23</f>
        <v>519</v>
      </c>
      <c r="F23" s="8">
        <f>IF(C23=0, "-", (D23-C23)/ABS(C23))</f>
        <v>5.2781450218651479E-2</v>
      </c>
      <c r="G23" s="5" t="s">
        <v>251</v>
      </c>
    </row>
    <row r="24" spans="1:7" ht="22.05" customHeight="1" x14ac:dyDescent="0.4">
      <c r="A24" s="10" t="s">
        <v>252</v>
      </c>
      <c r="B24" s="10" t="s">
        <v>253</v>
      </c>
      <c r="C24" s="11">
        <v>5303</v>
      </c>
      <c r="D24" s="11">
        <v>9775</v>
      </c>
      <c r="E24" s="12">
        <f>D24-C24</f>
        <v>4472</v>
      </c>
      <c r="F24" s="13">
        <f>IF(C24=0, "-", (D24-C24)/ABS(C24))</f>
        <v>0.84329624740712805</v>
      </c>
      <c r="G24" s="10" t="s">
        <v>254</v>
      </c>
    </row>
    <row r="25" spans="1:7" ht="22.05" customHeight="1" x14ac:dyDescent="0.4">
      <c r="A25" s="5" t="s">
        <v>255</v>
      </c>
      <c r="B25" s="5" t="s">
        <v>256</v>
      </c>
      <c r="C25" s="6">
        <v>3583</v>
      </c>
      <c r="D25" s="6">
        <v>1594</v>
      </c>
      <c r="E25" s="7">
        <f>D25-C25</f>
        <v>-1989</v>
      </c>
      <c r="F25" s="8">
        <f>IF(C25=0, "-", (D25-C25)/ABS(C25))</f>
        <v>-0.55512140664247833</v>
      </c>
      <c r="G25" s="5" t="s">
        <v>257</v>
      </c>
    </row>
    <row r="26" spans="1:7" ht="22.05" customHeight="1" x14ac:dyDescent="0.4">
      <c r="A26" s="10" t="s">
        <v>258</v>
      </c>
      <c r="B26" s="10" t="s">
        <v>259</v>
      </c>
      <c r="C26" s="11">
        <v>-56387</v>
      </c>
      <c r="D26" s="11">
        <v>-65785</v>
      </c>
      <c r="E26" s="12">
        <f>D26-C26</f>
        <v>-9398</v>
      </c>
      <c r="F26" s="13">
        <f>IF(C26=0, "-", (D26-C26)/ABS(C26))</f>
        <v>-0.1666696224307021</v>
      </c>
      <c r="G26" s="10" t="s">
        <v>260</v>
      </c>
    </row>
    <row r="27" spans="1:7" ht="22.05" customHeight="1" x14ac:dyDescent="0.4">
      <c r="A27" s="5" t="s">
        <v>261</v>
      </c>
      <c r="B27" s="5" t="s">
        <v>262</v>
      </c>
      <c r="C27" s="6">
        <v>199544</v>
      </c>
      <c r="D27" s="6">
        <v>227112</v>
      </c>
      <c r="E27" s="7">
        <f>D27-C27</f>
        <v>27568</v>
      </c>
      <c r="F27" s="8">
        <f>IF(C27=0, "-", (D27-C27)/ABS(C27))</f>
        <v>0.1381549933849176</v>
      </c>
      <c r="G27" s="5" t="s">
        <v>263</v>
      </c>
    </row>
    <row r="28" spans="1:7" ht="22.05" customHeight="1" x14ac:dyDescent="0.4">
      <c r="A28" s="10" t="s">
        <v>264</v>
      </c>
      <c r="B28" s="10" t="s">
        <v>265</v>
      </c>
      <c r="C28" s="11">
        <v>47948</v>
      </c>
      <c r="D28" s="11">
        <v>65662</v>
      </c>
      <c r="E28" s="12">
        <f>D28-C28</f>
        <v>17714</v>
      </c>
      <c r="F28" s="13">
        <f>IF(C28=0, "-", (D28-C28)/ABS(C28))</f>
        <v>0.36944189538666888</v>
      </c>
      <c r="G28" s="10" t="s">
        <v>266</v>
      </c>
    </row>
    <row r="29" spans="1:7" ht="22.05" customHeight="1" x14ac:dyDescent="0.4">
      <c r="A29" s="5" t="s">
        <v>267</v>
      </c>
      <c r="B29" s="5" t="s">
        <v>268</v>
      </c>
      <c r="C29" s="6">
        <v>42739</v>
      </c>
      <c r="D29" s="6">
        <v>46230</v>
      </c>
      <c r="E29" s="7">
        <f>D29-C29</f>
        <v>3491</v>
      </c>
      <c r="F29" s="8">
        <f>IF(C29=0, "-", (D29-C29)/ABS(C29))</f>
        <v>8.168183626196214E-2</v>
      </c>
      <c r="G29" s="5" t="s">
        <v>269</v>
      </c>
    </row>
    <row r="30" spans="1:7" ht="22.05" customHeight="1" x14ac:dyDescent="0.4">
      <c r="A30" s="10" t="s">
        <v>270</v>
      </c>
      <c r="B30" s="10" t="s">
        <v>271</v>
      </c>
      <c r="C30" s="11">
        <v>36208</v>
      </c>
      <c r="D30" s="11">
        <v>34703</v>
      </c>
      <c r="E30" s="12">
        <f>D30-C30</f>
        <v>-1505</v>
      </c>
      <c r="F30" s="13">
        <f>IF(C30=0, "-", (D30-C30)/ABS(C30))</f>
        <v>-4.1565399911621739E-2</v>
      </c>
      <c r="G30" s="10" t="s">
        <v>272</v>
      </c>
    </row>
    <row r="31" spans="1:7" ht="22.05" customHeight="1" x14ac:dyDescent="0.4">
      <c r="A31" s="5" t="s">
        <v>273</v>
      </c>
      <c r="B31" s="5" t="s">
        <v>274</v>
      </c>
      <c r="C31" s="6">
        <v>29314</v>
      </c>
      <c r="D31" s="6">
        <v>31689</v>
      </c>
      <c r="E31" s="7">
        <f>D31-C31</f>
        <v>2375</v>
      </c>
      <c r="F31" s="8">
        <f>IF(C31=0, "-", (D31-C31)/ABS(C31))</f>
        <v>8.1019308180391617E-2</v>
      </c>
      <c r="G31" s="5" t="s">
        <v>275</v>
      </c>
    </row>
    <row r="32" spans="1:7" ht="22.05" customHeight="1" x14ac:dyDescent="0.4">
      <c r="A32" s="10" t="s">
        <v>276</v>
      </c>
      <c r="B32" s="10" t="s">
        <v>277</v>
      </c>
      <c r="C32" s="11">
        <v>18926</v>
      </c>
      <c r="D32" s="11">
        <v>24393</v>
      </c>
      <c r="E32" s="12">
        <f>D32-C32</f>
        <v>5467</v>
      </c>
      <c r="F32" s="13">
        <f>IF(C32=0, "-", (D32-C32)/ABS(C32))</f>
        <v>0.28886188312374511</v>
      </c>
      <c r="G32" s="10" t="s">
        <v>278</v>
      </c>
    </row>
    <row r="33" spans="1:7" ht="22.05" customHeight="1" x14ac:dyDescent="0.4">
      <c r="A33" s="5" t="s">
        <v>279</v>
      </c>
      <c r="B33" s="5" t="s">
        <v>280</v>
      </c>
      <c r="C33" s="6">
        <v>22071</v>
      </c>
      <c r="D33" s="6">
        <v>21540</v>
      </c>
      <c r="E33" s="7">
        <f>D33-C33</f>
        <v>-531</v>
      </c>
      <c r="F33" s="8">
        <f>IF(C33=0, "-", (D33-C33)/ABS(C33))</f>
        <v>-2.4058719586788093E-2</v>
      </c>
      <c r="G33" s="5" t="s">
        <v>281</v>
      </c>
    </row>
    <row r="34" spans="1:7" ht="22.05" customHeight="1" x14ac:dyDescent="0.4">
      <c r="A34" s="10" t="s">
        <v>282</v>
      </c>
      <c r="B34" s="10" t="s">
        <v>283</v>
      </c>
      <c r="C34" s="11">
        <v>5178</v>
      </c>
      <c r="D34" s="11">
        <v>5249</v>
      </c>
      <c r="E34" s="12">
        <f>D34-C34</f>
        <v>71</v>
      </c>
      <c r="F34" s="13">
        <f>IF(C34=0, "-", (D34-C34)/ABS(C34))</f>
        <v>1.3711857860177675E-2</v>
      </c>
      <c r="G34" s="10" t="s">
        <v>284</v>
      </c>
    </row>
    <row r="35" spans="1:7" ht="22.05" customHeight="1" x14ac:dyDescent="0.4">
      <c r="A35" s="5" t="s">
        <v>285</v>
      </c>
      <c r="B35" s="5" t="s">
        <v>286</v>
      </c>
      <c r="C35" s="6">
        <v>4870</v>
      </c>
      <c r="D35" s="6">
        <v>4956</v>
      </c>
      <c r="E35" s="7">
        <f>D35-C35</f>
        <v>86</v>
      </c>
      <c r="F35" s="8">
        <f>IF(C35=0, "-", (D35-C35)/ABS(C35))</f>
        <v>1.7659137577002052E-2</v>
      </c>
      <c r="G35" s="5" t="s">
        <v>287</v>
      </c>
    </row>
    <row r="36" spans="1:7" ht="22.05" customHeight="1" x14ac:dyDescent="0.4">
      <c r="A36" s="10" t="s">
        <v>288</v>
      </c>
      <c r="B36" s="10" t="s">
        <v>289</v>
      </c>
      <c r="C36" s="11">
        <v>204</v>
      </c>
      <c r="D36" s="11">
        <v>186</v>
      </c>
      <c r="E36" s="12">
        <f>D36-C36</f>
        <v>-18</v>
      </c>
      <c r="F36" s="13">
        <f>IF(C36=0, "-", (D36-C36)/ABS(C36))</f>
        <v>-8.8235294117647065E-2</v>
      </c>
      <c r="G36" s="10" t="s">
        <v>290</v>
      </c>
    </row>
    <row r="37" spans="1:7" ht="22.05" customHeight="1" x14ac:dyDescent="0.4">
      <c r="A37" s="5" t="s">
        <v>291</v>
      </c>
      <c r="B37" s="5" t="s">
        <v>292</v>
      </c>
      <c r="C37" s="6">
        <v>71</v>
      </c>
      <c r="D37" s="6">
        <v>70</v>
      </c>
      <c r="E37" s="7">
        <f>D37-C37</f>
        <v>-1</v>
      </c>
      <c r="F37" s="8">
        <f>IF(C37=0, "-", (D37-C37)/ABS(C37))</f>
        <v>-1.4084507042253521E-2</v>
      </c>
      <c r="G37" s="5" t="s">
        <v>293</v>
      </c>
    </row>
    <row r="38" spans="1:7" ht="22.05" customHeight="1" x14ac:dyDescent="0.4">
      <c r="A38" s="10" t="s">
        <v>294</v>
      </c>
      <c r="B38" s="10" t="s">
        <v>295</v>
      </c>
      <c r="C38" s="11">
        <v>33</v>
      </c>
      <c r="D38" s="11">
        <v>37</v>
      </c>
      <c r="E38" s="12">
        <f>D38-C38</f>
        <v>4</v>
      </c>
      <c r="F38" s="13">
        <f>IF(C38=0, "-", (D38-C38)/ABS(C38))</f>
        <v>0.12121212121212122</v>
      </c>
      <c r="G38" s="10" t="s">
        <v>296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중점투자사업_박스요약</vt:lpstr>
      <vt:lpstr>27대_주요사업_수치현황</vt:lpstr>
      <vt:lpstr>총재원_및_부문별_예산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2026-10-22T02:10:47Z</dcterms:created>
  <dcterms:modified xsi:type="dcterms:W3CDTF">2026-10-22T02:10:53Z</dcterms:modified>
</cp:coreProperties>
</file>